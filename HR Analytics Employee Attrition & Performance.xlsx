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03a943d2d4b091e0/Desktop/Projects/"/>
    </mc:Choice>
  </mc:AlternateContent>
  <xr:revisionPtr revIDLastSave="1" documentId="8_{423E5E77-9FB3-48C6-B294-1B827C2A957A}" xr6:coauthVersionLast="47" xr6:coauthVersionMax="47" xr10:uidLastSave="{2CD24EBE-0EF3-464B-A890-E9BFE95AE244}"/>
  <bookViews>
    <workbookView xWindow="28680" yWindow="-120" windowWidth="29040" windowHeight="15720" xr2:uid="{BE70B692-C3A5-48BC-8347-DD0736F9E9C6}"/>
  </bookViews>
  <sheets>
    <sheet name="Dashboard" sheetId="3" r:id="rId1"/>
    <sheet name="Staging" sheetId="2" r:id="rId2"/>
    <sheet name="HR &amp; Workforce Analytics" sheetId="1" r:id="rId3"/>
  </sheets>
  <definedNames>
    <definedName name="Slicer_Department">#N/A</definedName>
    <definedName name="Slicer_Gender">#N/A</definedName>
    <definedName name="Slicer_MaritalStatus">#N/A</definedName>
  </definedNames>
  <calcPr calcId="191029"/>
  <pivotCaches>
    <pivotCache cacheId="656" r:id="rId4"/>
    <pivotCache cacheId="659" r:id="rId5"/>
    <pivotCache cacheId="662" r:id="rId6"/>
    <pivotCache cacheId="665" r:id="rId7"/>
  </pivotCaches>
  <extLst>
    <ext xmlns:x14="http://schemas.microsoft.com/office/spreadsheetml/2009/9/main" uri="{876F7934-8845-4945-9796-88D515C7AA90}">
      <x14:pivotCaches>
        <pivotCache cacheId="77"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_HR_Analytics_8e351064-b4bf-4597-aa98-ef5e2e46ae27" name="tbl_HR_Analytics" connection="Query - tbl_HR_Analytic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3" l="1"/>
  <c r="E5" i="3"/>
  <c r="A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1E904E-61AB-48E4-A5D2-FD6928CE7418}" name="Query - tbl_HR_Analytics" description="Connection to the 'tbl_HR_Analytics' query in the workbook." type="100" refreshedVersion="8" minRefreshableVersion="5">
    <extLst>
      <ext xmlns:x15="http://schemas.microsoft.com/office/spreadsheetml/2010/11/main" uri="{DE250136-89BD-433C-8126-D09CA5730AF9}">
        <x15:connection id="873fb587-d99d-4e07-b84e-fd1e7152c371"/>
      </ext>
    </extLst>
  </connection>
  <connection id="2" xr16:uid="{6B8DC691-1379-4DDA-B1CA-8EDF54EBB5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<sst xmlns="http://schemas.openxmlformats.org/spreadsheetml/2006/main" count="13302" uniqueCount="76">
  <si>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</si>
  <si>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</si>
  <si>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</si>
  <si>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</si>
  <si>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</si>
  <si>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</si>
  <si>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</si>
  <si>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</si>
  <si>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</si>
  <si>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</si>
  <si>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</si>
  <si>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</si>
  <si>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</si>
  <si>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</si>
  <si>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</si>
  <si>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</si>
  <si>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</si>
  <si>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</si>
  <si>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</si>
  <si>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</si>
  <si>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</si>
  <si>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</si>
  <si>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</si>
  <si>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</si>
  <si>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</si>
  <si>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</si>
  <si>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</si>
  <si>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</si>
  <si>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</si>
  <si>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</si>
  <si>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</si>
  <si>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</si>
  <si>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</si>
  <si>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</si>
  <si>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</si>
  <si>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</si>
  <si>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</si>
  <si>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</si>
  <si>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</si>
  <si>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</si>
  <si>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</si>
  <si>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</si>
  <si>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</si>
  <si>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</si>
  <si>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</si>
  <si>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</si>
  <si>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</si>
  <si>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</si>
  <si>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</si>
  <si>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</si>
  <si>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</si>
  <si>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</si>
  <si>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</si>
  <si>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</si>
  <si>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</si>
  <si>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</si>
  <si>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</si>
  <si>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</si>
  <si>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</si>
  <si>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</si>
  <si>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</si>
  <si>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</si>
  <si>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Total Headcount</t>
  </si>
  <si>
    <t>Attrition Count</t>
  </si>
  <si>
    <t>Attrition Rate (%)</t>
  </si>
  <si>
    <t>Row Labels</t>
  </si>
  <si>
    <t>Grand Total</t>
  </si>
  <si>
    <t>&lt;1 Year</t>
  </si>
  <si>
    <t>10+ Years</t>
  </si>
  <si>
    <t>1-3 Years</t>
  </si>
  <si>
    <t>3-5 Years</t>
  </si>
  <si>
    <t>5-10 Years</t>
  </si>
  <si>
    <t>HR WORKFORCE &amp; ATTRITION EXECUTION DASHBOARD</t>
  </si>
  <si>
    <t>TOTAL HEADCOUNT</t>
  </si>
  <si>
    <t>ATTRITION COUNT</t>
  </si>
  <si>
    <t>ATTRITION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</si>
</sst>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8" fillId="33" borderId="0" xfId="0" applyFont="1" applyFill="1" applyAlignment="1">
      <alignment horizontal="center" vertical="center"/>
    </xf>
    <xf numFmtId="0" fontId="16" fillId="0" borderId="0" xfId="0" applyFont="1"/>
    <xf numFmtId="0" fontId="19" fillId="0" borderId="0" xfId="0" applyFont="1"/>
    <xf numFmtId="10" fontId="19"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2.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Employee Attrition ^0 Performance.xlsx]Staging!PivotTable2</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 Attrition Rate by Department &amp; Role</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Staging!$B$6</c:f>
              <c:strCache>
                <c:ptCount val="1"/>
                <c:pt idx="0">
                  <c:v>Total</c:v>
                </c:pt>
              </c:strCache>
            </c:strRef>
          </c:tx>
          <c:spPr>
            <a:solidFill>
              <a:schemeClr val="accent1">
                <a:lumMod val="75000"/>
              </a:schemeClr>
            </a:solidFill>
            <a:ln>
              <a:noFill/>
            </a:ln>
            <a:effectLst/>
          </c:spPr>
          <c:invertIfNegative val="0"/>
          <c:cat>
            <c:multiLvlStrRef>
              <c:f>Staging!$A$7:$A$21</c:f>
              <c:multiLvlStrCache>
                <c:ptCount val="11"/>
                <c:lvl>
                  <c:pt idx="0">
                    <c:v>Human Resources</c:v>
                  </c:pt>
                  <c:pt idx="1">
                    <c:v>Manager</c:v>
                  </c:pt>
                  <c:pt idx="2">
                    <c:v>Healthcare Representative</c:v>
                  </c:pt>
                  <c:pt idx="3">
                    <c:v>Laboratory Technician</c:v>
                  </c:pt>
                  <c:pt idx="4">
                    <c:v>Manager</c:v>
                  </c:pt>
                  <c:pt idx="5">
                    <c:v>Manufacturing Director</c:v>
                  </c:pt>
                  <c:pt idx="6">
                    <c:v>Research Director</c:v>
                  </c:pt>
                  <c:pt idx="7">
                    <c:v>Research Scientist</c:v>
                  </c:pt>
                  <c:pt idx="8">
                    <c:v>Manager</c:v>
                  </c:pt>
                  <c:pt idx="9">
                    <c:v>Sales Executive</c:v>
                  </c:pt>
                  <c:pt idx="10">
                    <c:v>Sales Representative</c:v>
                  </c:pt>
                </c:lvl>
                <c:lvl>
                  <c:pt idx="0">
                    <c:v>Human Resources</c:v>
                  </c:pt>
                  <c:pt idx="2">
                    <c:v>Research &amp; Development</c:v>
                  </c:pt>
                  <c:pt idx="8">
                    <c:v>Sales</c:v>
                  </c:pt>
                </c:lvl>
              </c:multiLvlStrCache>
            </c:multiLvlStrRef>
          </c:cat>
          <c:val>
            <c:numRef>
              <c:f>Staging!$B$7:$B$21</c:f>
              <c:numCache>
                <c:formatCode>0.00%;\-0.00%;0.00%</c:formatCode>
                <c:ptCount val="11"/>
                <c:pt idx="0">
                  <c:v>0.23076923076923078</c:v>
                </c:pt>
                <c:pt idx="1">
                  <c:v>0</c:v>
                </c:pt>
                <c:pt idx="2">
                  <c:v>6.8702290076335881E-2</c:v>
                </c:pt>
                <c:pt idx="3">
                  <c:v>0.23938223938223938</c:v>
                </c:pt>
                <c:pt idx="4">
                  <c:v>5.5555555555555552E-2</c:v>
                </c:pt>
                <c:pt idx="5">
                  <c:v>6.8965517241379309E-2</c:v>
                </c:pt>
                <c:pt idx="6">
                  <c:v>2.5000000000000001E-2</c:v>
                </c:pt>
                <c:pt idx="7">
                  <c:v>0.16095890410958905</c:v>
                </c:pt>
                <c:pt idx="8">
                  <c:v>5.4054054054054057E-2</c:v>
                </c:pt>
                <c:pt idx="9">
                  <c:v>0.17484662576687116</c:v>
                </c:pt>
                <c:pt idx="10">
                  <c:v>0.39759036144578314</c:v>
                </c:pt>
              </c:numCache>
            </c:numRef>
          </c:val>
          <c:extLst>
            <c:ext xmlns:c16="http://schemas.microsoft.com/office/drawing/2014/chart" uri="{C3380CC4-5D6E-409C-BE32-E72D297353CC}">
              <c16:uniqueId val="{00000000-73C0-428F-9A3F-7B344EA84EFA}"/>
            </c:ext>
          </c:extLst>
        </c:ser>
        <c:dLbls>
          <c:showLegendKey val="0"/>
          <c:showVal val="0"/>
          <c:showCatName val="0"/>
          <c:showSerName val="0"/>
          <c:showPercent val="0"/>
          <c:showBubbleSize val="0"/>
        </c:dLbls>
        <c:gapWidth val="219"/>
        <c:overlap val="-27"/>
        <c:axId val="1177091504"/>
        <c:axId val="1169025808"/>
      </c:barChart>
      <c:catAx>
        <c:axId val="117709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69025808"/>
        <c:crosses val="autoZero"/>
        <c:auto val="1"/>
        <c:lblAlgn val="ctr"/>
        <c:lblOffset val="100"/>
        <c:noMultiLvlLbl val="0"/>
      </c:catAx>
      <c:valAx>
        <c:axId val="11690258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7709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Employee Attrition ^0 Performance.xlsx]Staging!PivotTable3</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 Attrition Rate by OverTime</a:t>
            </a:r>
            <a:r>
              <a:rPr lang="en-US" baseline="0"/>
              <a:t> Status</a:t>
            </a:r>
            <a:endParaRPr 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Staging!$F$6</c:f>
              <c:strCache>
                <c:ptCount val="1"/>
                <c:pt idx="0">
                  <c:v>Total</c:v>
                </c:pt>
              </c:strCache>
            </c:strRef>
          </c:tx>
          <c:spPr>
            <a:solidFill>
              <a:schemeClr val="accent2">
                <a:lumMod val="75000"/>
              </a:schemeClr>
            </a:solidFill>
            <a:ln>
              <a:noFill/>
            </a:ln>
            <a:effectLst/>
          </c:spPr>
          <c:invertIfNegative val="0"/>
          <c:cat>
            <c:strRef>
              <c:f>Staging!$E$7:$E$9</c:f>
              <c:strCache>
                <c:ptCount val="2"/>
                <c:pt idx="0">
                  <c:v>No</c:v>
                </c:pt>
                <c:pt idx="1">
                  <c:v>Yes</c:v>
                </c:pt>
              </c:strCache>
            </c:strRef>
          </c:cat>
          <c:val>
            <c:numRef>
              <c:f>Staging!$F$7:$F$9</c:f>
              <c:numCache>
                <c:formatCode>0.00%;\-0.00%;0.00%</c:formatCode>
                <c:ptCount val="2"/>
                <c:pt idx="0">
                  <c:v>0.10436432637571158</c:v>
                </c:pt>
                <c:pt idx="1">
                  <c:v>0.30528846153846156</c:v>
                </c:pt>
              </c:numCache>
            </c:numRef>
          </c:val>
          <c:extLst>
            <c:ext xmlns:c16="http://schemas.microsoft.com/office/drawing/2014/chart" uri="{C3380CC4-5D6E-409C-BE32-E72D297353CC}">
              <c16:uniqueId val="{00000000-6F64-4A1E-80E8-4809A81E865C}"/>
            </c:ext>
          </c:extLst>
        </c:ser>
        <c:dLbls>
          <c:showLegendKey val="0"/>
          <c:showVal val="0"/>
          <c:showCatName val="0"/>
          <c:showSerName val="0"/>
          <c:showPercent val="0"/>
          <c:showBubbleSize val="0"/>
        </c:dLbls>
        <c:gapWidth val="219"/>
        <c:overlap val="-27"/>
        <c:axId val="231529007"/>
        <c:axId val="1168928368"/>
      </c:barChart>
      <c:catAx>
        <c:axId val="23152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68928368"/>
        <c:crosses val="autoZero"/>
        <c:auto val="1"/>
        <c:lblAlgn val="ctr"/>
        <c:lblOffset val="100"/>
        <c:noMultiLvlLbl val="0"/>
      </c:catAx>
      <c:valAx>
        <c:axId val="1168928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152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Employee Attrition ^0 Performance.xlsx]Staging!PivotTable4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Attrition Rate</a:t>
            </a:r>
            <a:r>
              <a:rPr lang="en-US" baseline="0"/>
              <a:t> Across Tenure Buckets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Staging!$F$12</c:f>
              <c:strCache>
                <c:ptCount val="1"/>
                <c:pt idx="0">
                  <c:v>Total</c:v>
                </c:pt>
              </c:strCache>
            </c:strRef>
          </c:tx>
          <c:spPr>
            <a:solidFill>
              <a:schemeClr val="accent1">
                <a:lumMod val="75000"/>
              </a:schemeClr>
            </a:solidFill>
            <a:ln>
              <a:noFill/>
            </a:ln>
            <a:effectLst/>
          </c:spPr>
          <c:invertIfNegative val="0"/>
          <c:cat>
            <c:strRef>
              <c:f>Staging!$E$13:$E$18</c:f>
              <c:strCache>
                <c:ptCount val="5"/>
                <c:pt idx="0">
                  <c:v>&lt;1 Year</c:v>
                </c:pt>
                <c:pt idx="1">
                  <c:v>1-3 Years</c:v>
                </c:pt>
                <c:pt idx="2">
                  <c:v>3-5 Years</c:v>
                </c:pt>
                <c:pt idx="3">
                  <c:v>5-10 Years</c:v>
                </c:pt>
                <c:pt idx="4">
                  <c:v>10+ Years</c:v>
                </c:pt>
              </c:strCache>
            </c:strRef>
          </c:cat>
          <c:val>
            <c:numRef>
              <c:f>Staging!$F$13:$F$18</c:f>
              <c:numCache>
                <c:formatCode>0.00%;\-0.00%;0.00%</c:formatCode>
                <c:ptCount val="5"/>
                <c:pt idx="0">
                  <c:v>0.34883720930232559</c:v>
                </c:pt>
                <c:pt idx="1">
                  <c:v>0.18431372549019609</c:v>
                </c:pt>
                <c:pt idx="2">
                  <c:v>0.13071895424836602</c:v>
                </c:pt>
                <c:pt idx="3">
                  <c:v>0.12276785714285714</c:v>
                </c:pt>
                <c:pt idx="4">
                  <c:v>8.1300813008130079E-2</c:v>
                </c:pt>
              </c:numCache>
            </c:numRef>
          </c:val>
          <c:extLst>
            <c:ext xmlns:c16="http://schemas.microsoft.com/office/drawing/2014/chart" uri="{C3380CC4-5D6E-409C-BE32-E72D297353CC}">
              <c16:uniqueId val="{00000000-6EDA-4710-870D-4AA07ABE872A}"/>
            </c:ext>
          </c:extLst>
        </c:ser>
        <c:dLbls>
          <c:showLegendKey val="0"/>
          <c:showVal val="0"/>
          <c:showCatName val="0"/>
          <c:showSerName val="0"/>
          <c:showPercent val="0"/>
          <c:showBubbleSize val="0"/>
        </c:dLbls>
        <c:gapWidth val="219"/>
        <c:overlap val="-27"/>
        <c:axId val="231475647"/>
        <c:axId val="1168919728"/>
      </c:barChart>
      <c:catAx>
        <c:axId val="23147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68919728"/>
        <c:crosses val="autoZero"/>
        <c:auto val="1"/>
        <c:lblAlgn val="ctr"/>
        <c:lblOffset val="100"/>
        <c:noMultiLvlLbl val="0"/>
      </c:catAx>
      <c:valAx>
        <c:axId val="1168919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3147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11429</xdr:colOff>
      <xdr:row>7</xdr:row>
      <xdr:rowOff>11429</xdr:rowOff>
    </xdr:from>
    <xdr:to>
      <xdr:col>7</xdr:col>
      <xdr:colOff>457199</xdr:colOff>
      <xdr:row>28</xdr:row>
      <xdr:rowOff>26669</xdr:rowOff>
    </xdr:to>
    <xdr:graphicFrame macro="">
      <xdr:nvGraphicFramePr>
        <xdr:cNvPr id="2" name="Chart 1">
          <a:extLst>
            <a:ext uri="{FF2B5EF4-FFF2-40B4-BE49-F238E27FC236}">
              <a16:creationId xmlns:a16="http://schemas.microsoft.com/office/drawing/2014/main" id="{37007A7E-5441-4A27-9450-CE0B89963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7</xdr:row>
      <xdr:rowOff>0</xdr:rowOff>
    </xdr:from>
    <xdr:to>
      <xdr:col>15</xdr:col>
      <xdr:colOff>24765</xdr:colOff>
      <xdr:row>22</xdr:row>
      <xdr:rowOff>36195</xdr:rowOff>
    </xdr:to>
    <xdr:graphicFrame macro="">
      <xdr:nvGraphicFramePr>
        <xdr:cNvPr id="3" name="Chart 2">
          <a:extLst>
            <a:ext uri="{FF2B5EF4-FFF2-40B4-BE49-F238E27FC236}">
              <a16:creationId xmlns:a16="http://schemas.microsoft.com/office/drawing/2014/main" id="{3815CB35-B6AF-4DD8-B57A-437B5B9D0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7620</xdr:colOff>
      <xdr:row>22</xdr:row>
      <xdr:rowOff>179070</xdr:rowOff>
    </xdr:from>
    <xdr:to>
      <xdr:col>15</xdr:col>
      <xdr:colOff>36195</xdr:colOff>
      <xdr:row>38</xdr:row>
      <xdr:rowOff>36195</xdr:rowOff>
    </xdr:to>
    <xdr:graphicFrame macro="">
      <xdr:nvGraphicFramePr>
        <xdr:cNvPr id="4" name="Chart 3">
          <a:extLst>
            <a:ext uri="{FF2B5EF4-FFF2-40B4-BE49-F238E27FC236}">
              <a16:creationId xmlns:a16="http://schemas.microsoft.com/office/drawing/2014/main" id="{F14DD4F5-BF40-43DF-A452-971466200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304800</xdr:colOff>
      <xdr:row>0</xdr:row>
      <xdr:rowOff>55245</xdr:rowOff>
    </xdr:from>
    <xdr:to>
      <xdr:col>23</xdr:col>
      <xdr:colOff>304800</xdr:colOff>
      <xdr:row>6</xdr:row>
      <xdr:rowOff>0</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C8B13F25-D0EA-12A9-7ECF-F122AA8C68C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849225" y="59055"/>
              <a:ext cx="1828800" cy="116967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323850</xdr:colOff>
      <xdr:row>13</xdr:row>
      <xdr:rowOff>7620</xdr:rowOff>
    </xdr:from>
    <xdr:to>
      <xdr:col>23</xdr:col>
      <xdr:colOff>323850</xdr:colOff>
      <xdr:row>17</xdr:row>
      <xdr:rowOff>158115</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E0C79B03-FF8D-AA38-7DC6-37C862F04DC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864465" y="2505075"/>
              <a:ext cx="1828800" cy="874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314325</xdr:colOff>
      <xdr:row>6</xdr:row>
      <xdr:rowOff>78105</xdr:rowOff>
    </xdr:from>
    <xdr:to>
      <xdr:col>23</xdr:col>
      <xdr:colOff>314325</xdr:colOff>
      <xdr:row>12</xdr:row>
      <xdr:rowOff>93345</xdr:rowOff>
    </xdr:to>
    <mc:AlternateContent xmlns:mc="http://schemas.openxmlformats.org/markup-compatibility/2006">
      <mc:Choice xmlns:a14="http://schemas.microsoft.com/office/drawing/2010/main" Requires="a14">
        <xdr:graphicFrame macro="">
          <xdr:nvGraphicFramePr>
            <xdr:cNvPr id="7" name="MaritalStatus">
              <a:extLst>
                <a:ext uri="{FF2B5EF4-FFF2-40B4-BE49-F238E27FC236}">
                  <a16:creationId xmlns:a16="http://schemas.microsoft.com/office/drawing/2014/main" id="{29022550-F97C-98A5-1EB8-DDCA45A2B3D8}"/>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12860655" y="1306830"/>
              <a:ext cx="1828800" cy="11049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 shamallah" refreshedDate="46286.627385300926" backgroundQuery="1" createdVersion="8" refreshedVersion="8" minRefreshableVersion="3" recordCount="0" supportSubquery="1" supportAdvancedDrill="1" xr:uid="{5335E6FC-CF0B-4449-9065-BFAA7F0E1630}">
  <cacheSource type="external" connectionId="2"/>
  <cacheFields count="4">
    <cacheField name="[tbl_HR_Analytics].[Department].[Department]" caption="Department" numFmtId="0" hierarchy="4" level="1">
      <sharedItems count="3">
        <s v="Human Resources"/>
        <s v="Research &amp; Development"/>
        <s v="Sales"/>
      </sharedItems>
    </cacheField>
    <cacheField name="[tbl_HR_Analytics].[JobRole].[JobRole]" caption="JobRole" numFmtId="0" hierarchy="15" level="1">
      <sharedItems count="9">
        <s v="Human Resources"/>
        <s v="Manager"/>
        <s v="Healthcare Representative"/>
        <s v="Laboratory Technician"/>
        <s v="Manufacturing Director"/>
        <s v="Research Director"/>
        <s v="Research Scientist"/>
        <s v="Sales Executive"/>
        <s v="Sales Representative"/>
      </sharedItems>
    </cacheField>
    <cacheField name="[Measures].[Attrition Rate (%)]" caption="Attrition Rate (%)" numFmtId="0" hierarchy="39" level="32767"/>
    <cacheField name="[tbl_HR_Analytics].[Gender].[Gender]" caption="Gender" numFmtId="0" hierarchy="11" level="1">
      <sharedItems containsSemiMixedTypes="0" containsNonDate="0" containsString="0"/>
    </cacheField>
  </cacheFields>
  <cacheHierarchies count="42">
    <cacheHierarchy uniqueName="[tbl_HR_Analytics].[Age]" caption="Age" attribute="1" defaultMemberUniqueName="[tbl_HR_Analytics].[Age].[All]" allUniqueName="[tbl_HR_Analytics].[Age].[All]" dimensionUniqueName="[tbl_HR_Analytics]" displayFolder="" count="2" memberValueDatatype="20" unbalanced="0"/>
    <cacheHierarchy uniqueName="[tbl_HR_Analytics].[Attrition]" caption="Attrition" attribute="1" defaultMemberUniqueName="[tbl_HR_Analytics].[Attrition].[All]" allUniqueName="[tbl_HR_Analytics].[Attrition].[All]" dimensionUniqueName="[tbl_HR_Analytics]" displayFolder="" count="2" memberValueDatatype="130" unbalanced="0"/>
    <cacheHierarchy uniqueName="[tbl_HR_Analytics].[BusinessTravel]" caption="BusinessTravel" attribute="1" defaultMemberUniqueName="[tbl_HR_Analytics].[BusinessTravel].[All]" allUniqueName="[tbl_HR_Analytics].[BusinessTravel].[All]" dimensionUniqueName="[tbl_HR_Analytics]" displayFolder="" count="2" memberValueDatatype="130" unbalanced="0"/>
    <cacheHierarchy uniqueName="[tbl_HR_Analytics].[DailyRate]" caption="DailyRate" attribute="1" defaultMemberUniqueName="[tbl_HR_Analytics].[DailyRate].[All]" allUniqueName="[tbl_HR_Analytics].[DailyRate].[All]" dimensionUniqueName="[tbl_HR_Analytics]" displayFolder="" count="2" memberValueDatatype="20" unbalanced="0"/>
    <cacheHierarchy uniqueName="[tbl_HR_Analytics].[Department]" caption="Department" attribute="1" defaultMemberUniqueName="[tbl_HR_Analytics].[Department].[All]" allUniqueName="[tbl_HR_Analytics].[Department].[All]" dimensionUniqueName="[tbl_HR_Analytics]" displayFolder="" count="2" memberValueDatatype="130" unbalanced="0">
      <fieldsUsage count="2">
        <fieldUsage x="-1"/>
        <fieldUsage x="0"/>
      </fieldsUsage>
    </cacheHierarchy>
    <cacheHierarchy uniqueName="[tbl_HR_Analytics].[DistanceFromHome]" caption="DistanceFromHome" attribute="1" defaultMemberUniqueName="[tbl_HR_Analytics].[DistanceFromHome].[All]" allUniqueName="[tbl_HR_Analytics].[DistanceFromHome].[All]" dimensionUniqueName="[tbl_HR_Analytics]" displayFolder="" count="2" memberValueDatatype="20" unbalanced="0"/>
    <cacheHierarchy uniqueName="[tbl_HR_Analytics].[Education]" caption="Education" attribute="1" defaultMemberUniqueName="[tbl_HR_Analytics].[Education].[All]" allUniqueName="[tbl_HR_Analytics].[Education].[All]" dimensionUniqueName="[tbl_HR_Analytics]" displayFolder="" count="2" memberValueDatatype="20" unbalanced="0"/>
    <cacheHierarchy uniqueName="[tbl_HR_Analytics].[EducationField]" caption="EducationField" attribute="1" defaultMemberUniqueName="[tbl_HR_Analytics].[EducationField].[All]" allUniqueName="[tbl_HR_Analytics].[EducationField].[All]" dimensionUniqueName="[tbl_HR_Analytics]" displayFolder="" count="2" memberValueDatatype="130" unbalanced="0"/>
    <cacheHierarchy uniqueName="[tbl_HR_Analytics].[EmployeeCount]" caption="EmployeeCount" attribute="1" defaultMemberUniqueName="[tbl_HR_Analytics].[EmployeeCount].[All]" allUniqueName="[tbl_HR_Analytics].[EmployeeCount].[All]" dimensionUniqueName="[tbl_HR_Analytics]" displayFolder="" count="2" memberValueDatatype="20" unbalanced="0"/>
    <cacheHierarchy uniqueName="[tbl_HR_Analytics].[EmployeeNumber]" caption="EmployeeNumber" attribute="1" defaultMemberUniqueName="[tbl_HR_Analytics].[EmployeeNumber].[All]" allUniqueName="[tbl_HR_Analytics].[EmployeeNumber].[All]" dimensionUniqueName="[tbl_HR_Analytics]" displayFolder="" count="2" memberValueDatatype="20" unbalanced="0"/>
    <cacheHierarchy uniqueName="[tbl_HR_Analytics].[EnvironmentSatisfaction]" caption="EnvironmentSatisfaction" attribute="1" defaultMemberUniqueName="[tbl_HR_Analytics].[EnvironmentSatisfaction].[All]" allUniqueName="[tbl_HR_Analytics].[EnvironmentSatisfaction].[All]" dimensionUniqueName="[tbl_HR_Analytics]" displayFolder="" count="2" memberValueDatatype="20" unbalanced="0"/>
    <cacheHierarchy uniqueName="[tbl_HR_Analytics].[Gender]" caption="Gender" attribute="1" defaultMemberUniqueName="[tbl_HR_Analytics].[Gender].[All]" allUniqueName="[tbl_HR_Analytics].[Gender].[All]" dimensionUniqueName="[tbl_HR_Analytics]" displayFolder="" count="2" memberValueDatatype="130" unbalanced="0">
      <fieldsUsage count="2">
        <fieldUsage x="-1"/>
        <fieldUsage x="3"/>
      </fieldsUsage>
    </cacheHierarchy>
    <cacheHierarchy uniqueName="[tbl_HR_Analytics].[HourlyRate]" caption="HourlyRate" attribute="1" defaultMemberUniqueName="[tbl_HR_Analytics].[HourlyRate].[All]" allUniqueName="[tbl_HR_Analytics].[HourlyRate].[All]" dimensionUniqueName="[tbl_HR_Analytics]" displayFolder="" count="2" memberValueDatatype="20" unbalanced="0"/>
    <cacheHierarchy uniqueName="[tbl_HR_Analytics].[JobInvolvement]" caption="JobInvolvement" attribute="1" defaultMemberUniqueName="[tbl_HR_Analytics].[JobInvolvement].[All]" allUniqueName="[tbl_HR_Analytics].[JobInvolvement].[All]" dimensionUniqueName="[tbl_HR_Analytics]" displayFolder="" count="2" memberValueDatatype="20" unbalanced="0"/>
    <cacheHierarchy uniqueName="[tbl_HR_Analytics].[JobLevel]" caption="JobLevel" attribute="1" defaultMemberUniqueName="[tbl_HR_Analytics].[JobLevel].[All]" allUniqueName="[tbl_HR_Analytics].[JobLevel].[All]" dimensionUniqueName="[tbl_HR_Analytics]" displayFolder="" count="2" memberValueDatatype="20" unbalanced="0"/>
    <cacheHierarchy uniqueName="[tbl_HR_Analytics].[JobRole]" caption="JobRole" attribute="1" defaultMemberUniqueName="[tbl_HR_Analytics].[JobRole].[All]" allUniqueName="[tbl_HR_Analytics].[JobRole].[All]" dimensionUniqueName="[tbl_HR_Analytics]" displayFolder="" count="2" memberValueDatatype="130" unbalanced="0">
      <fieldsUsage count="2">
        <fieldUsage x="-1"/>
        <fieldUsage x="1"/>
      </fieldsUsage>
    </cacheHierarchy>
    <cacheHierarchy uniqueName="[tbl_HR_Analytics].[JobSatisfaction]" caption="JobSatisfaction" attribute="1" defaultMemberUniqueName="[tbl_HR_Analytics].[JobSatisfaction].[All]" allUniqueName="[tbl_HR_Analytics].[JobSatisfaction].[All]" dimensionUniqueName="[tbl_HR_Analytics]" displayFolder="" count="2" memberValueDatatype="20" unbalanced="0"/>
    <cacheHierarchy uniqueName="[tbl_HR_Analytics].[MaritalStatus]" caption="MaritalStatus" attribute="1" defaultMemberUniqueName="[tbl_HR_Analytics].[MaritalStatus].[All]" allUniqueName="[tbl_HR_Analytics].[MaritalStatus].[All]" dimensionUniqueName="[tbl_HR_Analytics]" displayFolder="" count="2" memberValueDatatype="130" unbalanced="0"/>
    <cacheHierarchy uniqueName="[tbl_HR_Analytics].[MonthlyIncome]" caption="MonthlyIncome" attribute="1" defaultMemberUniqueName="[tbl_HR_Analytics].[MonthlyIncome].[All]" allUniqueName="[tbl_HR_Analytics].[MonthlyIncome].[All]" dimensionUniqueName="[tbl_HR_Analytics]" displayFolder="" count="2" memberValueDatatype="20" unbalanced="0"/>
    <cacheHierarchy uniqueName="[tbl_HR_Analytics].[MonthlyRate]" caption="MonthlyRate" attribute="1" defaultMemberUniqueName="[tbl_HR_Analytics].[MonthlyRate].[All]" allUniqueName="[tbl_HR_Analytics].[MonthlyRate].[All]" dimensionUniqueName="[tbl_HR_Analytics]" displayFolder="" count="2" memberValueDatatype="20" unbalanced="0"/>
    <cacheHierarchy uniqueName="[tbl_HR_Analytics].[NumCompaniesWorked]" caption="NumCompaniesWorked" attribute="1" defaultMemberUniqueName="[tbl_HR_Analytics].[NumCompaniesWorked].[All]" allUniqueName="[tbl_HR_Analytics].[NumCompaniesWorked].[All]" dimensionUniqueName="[tbl_HR_Analytics]" displayFolder="" count="2" memberValueDatatype="20" unbalanced="0"/>
    <cacheHierarchy uniqueName="[tbl_HR_Analytics].[Over18]" caption="Over18" attribute="1" defaultMemberUniqueName="[tbl_HR_Analytics].[Over18].[All]" allUniqueName="[tbl_HR_Analytics].[Over18].[All]" dimensionUniqueName="[tbl_HR_Analytics]" displayFolder="" count="2" memberValueDatatype="130" unbalanced="0"/>
    <cacheHierarchy uniqueName="[tbl_HR_Analytics].[OverTime]" caption="OverTime" attribute="1" defaultMemberUniqueName="[tbl_HR_Analytics].[OverTime].[All]" allUniqueName="[tbl_HR_Analytics].[OverTime].[All]" dimensionUniqueName="[tbl_HR_Analytics]" displayFolder="" count="2" memberValueDatatype="130" unbalanced="0"/>
    <cacheHierarchy uniqueName="[tbl_HR_Analytics].[PercentSalaryHike]" caption="PercentSalaryHike" attribute="1" defaultMemberUniqueName="[tbl_HR_Analytics].[PercentSalaryHike].[All]" allUniqueName="[tbl_HR_Analytics].[PercentSalaryHike].[All]" dimensionUniqueName="[tbl_HR_Analytics]" displayFolder="" count="2" memberValueDatatype="20" unbalanced="0"/>
    <cacheHierarchy uniqueName="[tbl_HR_Analytics].[PerformanceRating]" caption="PerformanceRating" attribute="1" defaultMemberUniqueName="[tbl_HR_Analytics].[PerformanceRating].[All]" allUniqueName="[tbl_HR_Analytics].[PerformanceRating].[All]" dimensionUniqueName="[tbl_HR_Analytics]" displayFolder="" count="2" memberValueDatatype="20" unbalanced="0"/>
    <cacheHierarchy uniqueName="[tbl_HR_Analytics].[RelationshipSatisfaction]" caption="RelationshipSatisfaction" attribute="1" defaultMemberUniqueName="[tbl_HR_Analytics].[RelationshipSatisfaction].[All]" allUniqueName="[tbl_HR_Analytics].[RelationshipSatisfaction].[All]" dimensionUniqueName="[tbl_HR_Analytics]" displayFolder="" count="2" memberValueDatatype="20" unbalanced="0"/>
    <cacheHierarchy uniqueName="[tbl_HR_Analytics].[StandardHours]" caption="StandardHours" attribute="1" defaultMemberUniqueName="[tbl_HR_Analytics].[StandardHours].[All]" allUniqueName="[tbl_HR_Analytics].[StandardHours].[All]" dimensionUniqueName="[tbl_HR_Analytics]" displayFolder="" count="2" memberValueDatatype="20" unbalanced="0"/>
    <cacheHierarchy uniqueName="[tbl_HR_Analytics].[StockOptionLevel]" caption="StockOptionLevel" attribute="1" defaultMemberUniqueName="[tbl_HR_Analytics].[StockOptionLevel].[All]" allUniqueName="[tbl_HR_Analytics].[StockOptionLevel].[All]" dimensionUniqueName="[tbl_HR_Analytics]" displayFolder="" count="2" memberValueDatatype="20" unbalanced="0"/>
    <cacheHierarchy uniqueName="[tbl_HR_Analytics].[TotalWorkingYears]" caption="TotalWorkingYears" attribute="1" defaultMemberUniqueName="[tbl_HR_Analytics].[TotalWorkingYears].[All]" allUniqueName="[tbl_HR_Analytics].[TotalWorkingYears].[All]" dimensionUniqueName="[tbl_HR_Analytics]" displayFolder="" count="2" memberValueDatatype="20" unbalanced="0"/>
    <cacheHierarchy uniqueName="[tbl_HR_Analytics].[TrainingTimesLastYear]" caption="TrainingTimesLastYear" attribute="1" defaultMemberUniqueName="[tbl_HR_Analytics].[TrainingTimesLastYear].[All]" allUniqueName="[tbl_HR_Analytics].[TrainingTimesLastYear].[All]" dimensionUniqueName="[tbl_HR_Analytics]" displayFolder="" count="2" memberValueDatatype="20" unbalanced="0"/>
    <cacheHierarchy uniqueName="[tbl_HR_Analytics].[WorkLifeBalance]" caption="WorkLifeBalance" attribute="1" defaultMemberUniqueName="[tbl_HR_Analytics].[WorkLifeBalance].[All]" allUniqueName="[tbl_HR_Analytics].[WorkLifeBalance].[All]" dimensionUniqueName="[tbl_HR_Analytics]" displayFolder="" count="2" memberValueDatatype="20" unbalanced="0"/>
    <cacheHierarchy uniqueName="[tbl_HR_Analytics].[YearsAtCompany]" caption="YearsAtCompany" attribute="1" defaultMemberUniqueName="[tbl_HR_Analytics].[YearsAtCompany].[All]" allUniqueName="[tbl_HR_Analytics].[YearsAtCompany].[All]" dimensionUniqueName="[tbl_HR_Analytics]" displayFolder="" count="2" memberValueDatatype="20" unbalanced="0"/>
    <cacheHierarchy uniqueName="[tbl_HR_Analytics].[YearsInCurrentRole]" caption="YearsInCurrentRole" attribute="1" defaultMemberUniqueName="[tbl_HR_Analytics].[YearsInCurrentRole].[All]" allUniqueName="[tbl_HR_Analytics].[YearsInCurrentRole].[All]" dimensionUniqueName="[tbl_HR_Analytics]" displayFolder="" count="2" memberValueDatatype="20" unbalanced="0"/>
    <cacheHierarchy uniqueName="[tbl_HR_Analytics].[YearsSinceLastPromotion]" caption="YearsSinceLastPromotion" attribute="1" defaultMemberUniqueName="[tbl_HR_Analytics].[YearsSinceLastPromotion].[All]" allUniqueName="[tbl_HR_Analytics].[YearsSinceLastPromotion].[All]" dimensionUniqueName="[tbl_HR_Analytics]" displayFolder="" count="2" memberValueDatatype="20" unbalanced="0"/>
    <cacheHierarchy uniqueName="[tbl_HR_Analytics].[YearsWithCurrManager]" caption="YearsWithCurrManager" attribute="1" defaultMemberUniqueName="[tbl_HR_Analytics].[YearsWithCurrManager].[All]" allUniqueName="[tbl_HR_Analytics].[YearsWithCurrManager].[All]" dimensionUniqueName="[tbl_HR_Analytics]" displayFolder="" count="2" memberValueDatatype="20" unbalanced="0"/>
    <cacheHierarchy uniqueName="[tbl_HR_Analytics].[Attrition Flag]" caption="Attrition Flag" attribute="1" defaultMemberUniqueName="[tbl_HR_Analytics].[Attrition Flag].[All]" allUniqueName="[tbl_HR_Analytics].[Attrition Flag].[All]" dimensionUniqueName="[tbl_HR_Analytics]" displayFolder="" count="2" memberValueDatatype="20" unbalanced="0"/>
    <cacheHierarchy uniqueName="[tbl_HR_Analytics].[Tenure Bucket]" caption="Tenure Bucket" attribute="1" defaultMemberUniqueName="[tbl_HR_Analytics].[Tenure Bucket].[All]" allUniqueName="[tbl_HR_Analytics].[Tenure Bucket].[All]" dimensionUniqueName="[tbl_HR_Analytics]" displayFolder="" count="2" memberValueDatatype="130" unbalanced="0"/>
    <cacheHierarchy uniqueName="[Measures].[Total Headcount]" caption="Total Headcount" measure="1" displayFolder="" measureGroup="tbl_HR_Analytics" count="0"/>
    <cacheHierarchy uniqueName="[Measures].[Attrition Count]" caption="Attrition Count" measure="1" displayFolder="" measureGroup="tbl_HR_Analytics" count="0"/>
    <cacheHierarchy uniqueName="[Measures].[Attrition Rate (%)]" caption="Attrition Rate (%)" measure="1" displayFolder="" measureGroup="tbl_HR_Analytics" count="0" oneField="1">
      <fieldsUsage count="1">
        <fieldUsage x="2"/>
      </fieldsUsage>
    </cacheHierarchy>
    <cacheHierarchy uniqueName="[Measures].[__XL_Count tbl_HR_Analytics]" caption="__XL_Count tbl_HR_Analytics" measure="1" displayFolder="" measureGroup="tbl_HR_Analytics" count="0" hidden="1"/>
    <cacheHierarchy uniqueName="[Measures].[__No measures defined]" caption="__No measures defined" measure="1" displayFolder="" count="0" hidden="1"/>
  </cacheHierarchies>
  <kpis count="0"/>
  <dimensions count="2">
    <dimension measure="1" name="Measures" uniqueName="[Measures]" caption="Measures"/>
    <dimension name="tbl_HR_Analytics" uniqueName="[tbl_HR_Analytics]" caption="tbl_HR_Analytics"/>
  </dimensions>
  <measureGroups count="1">
    <measureGroup name="tbl_HR_Analytics" caption="tbl_HR_Analytic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 shamallah" refreshedDate="46286.627385763888" backgroundQuery="1" createdVersion="8" refreshedVersion="8" minRefreshableVersion="3" recordCount="0" supportSubquery="1" supportAdvancedDrill="1" xr:uid="{B8E09350-D784-4AE7-924C-1E848686E793}">
  <cacheSource type="external" connectionId="2"/>
  <cacheFields count="4">
    <cacheField name="[Measures].[Total Headcount]" caption="Total Headcount" numFmtId="0" hierarchy="37" level="32767"/>
    <cacheField name="[Measures].[Attrition Count]" caption="Attrition Count" numFmtId="0" hierarchy="38" level="32767"/>
    <cacheField name="[Measures].[Attrition Rate (%)]" caption="Attrition Rate (%)" numFmtId="0" hierarchy="39" level="32767"/>
    <cacheField name="[tbl_HR_Analytics].[Gender].[Gender]" caption="Gender" numFmtId="0" hierarchy="11" level="1">
      <sharedItems containsSemiMixedTypes="0" containsNonDate="0" containsString="0"/>
    </cacheField>
  </cacheFields>
  <cacheHierarchies count="42">
    <cacheHierarchy uniqueName="[tbl_HR_Analytics].[Age]" caption="Age" attribute="1" defaultMemberUniqueName="[tbl_HR_Analytics].[Age].[All]" allUniqueName="[tbl_HR_Analytics].[Age].[All]" dimensionUniqueName="[tbl_HR_Analytics]" displayFolder="" count="0" memberValueDatatype="20" unbalanced="0"/>
    <cacheHierarchy uniqueName="[tbl_HR_Analytics].[Attrition]" caption="Attrition" attribute="1" defaultMemberUniqueName="[tbl_HR_Analytics].[Attrition].[All]" allUniqueName="[tbl_HR_Analytics].[Attrition].[All]" dimensionUniqueName="[tbl_HR_Analytics]" displayFolder="" count="0" memberValueDatatype="130" unbalanced="0"/>
    <cacheHierarchy uniqueName="[tbl_HR_Analytics].[BusinessTravel]" caption="BusinessTravel" attribute="1" defaultMemberUniqueName="[tbl_HR_Analytics].[BusinessTravel].[All]" allUniqueName="[tbl_HR_Analytics].[BusinessTravel].[All]" dimensionUniqueName="[tbl_HR_Analytics]" displayFolder="" count="0" memberValueDatatype="130" unbalanced="0"/>
    <cacheHierarchy uniqueName="[tbl_HR_Analytics].[DailyRate]" caption="DailyRate" attribute="1" defaultMemberUniqueName="[tbl_HR_Analytics].[DailyRate].[All]" allUniqueName="[tbl_HR_Analytics].[DailyRate].[All]" dimensionUniqueName="[tbl_HR_Analytics]" displayFolder="" count="0" memberValueDatatype="20" unbalanced="0"/>
    <cacheHierarchy uniqueName="[tbl_HR_Analytics].[Department]" caption="Department" attribute="1" defaultMemberUniqueName="[tbl_HR_Analytics].[Department].[All]" allUniqueName="[tbl_HR_Analytics].[Department].[All]" dimensionUniqueName="[tbl_HR_Analytics]" displayFolder="" count="2" memberValueDatatype="130" unbalanced="0"/>
    <cacheHierarchy uniqueName="[tbl_HR_Analytics].[DistanceFromHome]" caption="DistanceFromHome" attribute="1" defaultMemberUniqueName="[tbl_HR_Analytics].[DistanceFromHome].[All]" allUniqueName="[tbl_HR_Analytics].[DistanceFromHome].[All]" dimensionUniqueName="[tbl_HR_Analytics]" displayFolder="" count="0" memberValueDatatype="20" unbalanced="0"/>
    <cacheHierarchy uniqueName="[tbl_HR_Analytics].[Education]" caption="Education" attribute="1" defaultMemberUniqueName="[tbl_HR_Analytics].[Education].[All]" allUniqueName="[tbl_HR_Analytics].[Education].[All]" dimensionUniqueName="[tbl_HR_Analytics]" displayFolder="" count="0" memberValueDatatype="20" unbalanced="0"/>
    <cacheHierarchy uniqueName="[tbl_HR_Analytics].[EducationField]" caption="EducationField" attribute="1" defaultMemberUniqueName="[tbl_HR_Analytics].[EducationField].[All]" allUniqueName="[tbl_HR_Analytics].[EducationField].[All]" dimensionUniqueName="[tbl_HR_Analytics]" displayFolder="" count="0" memberValueDatatype="130" unbalanced="0"/>
    <cacheHierarchy uniqueName="[tbl_HR_Analytics].[EmployeeCount]" caption="EmployeeCount" attribute="1" defaultMemberUniqueName="[tbl_HR_Analytics].[EmployeeCount].[All]" allUniqueName="[tbl_HR_Analytics].[EmployeeCount].[All]" dimensionUniqueName="[tbl_HR_Analytics]" displayFolder="" count="0" memberValueDatatype="20" unbalanced="0"/>
    <cacheHierarchy uniqueName="[tbl_HR_Analytics].[EmployeeNumber]" caption="EmployeeNumber" attribute="1" defaultMemberUniqueName="[tbl_HR_Analytics].[EmployeeNumber].[All]" allUniqueName="[tbl_HR_Analytics].[EmployeeNumber].[All]" dimensionUniqueName="[tbl_HR_Analytics]" displayFolder="" count="0" memberValueDatatype="20" unbalanced="0"/>
    <cacheHierarchy uniqueName="[tbl_HR_Analytics].[EnvironmentSatisfaction]" caption="EnvironmentSatisfaction" attribute="1" defaultMemberUniqueName="[tbl_HR_Analytics].[EnvironmentSatisfaction].[All]" allUniqueName="[tbl_HR_Analytics].[EnvironmentSatisfaction].[All]" dimensionUniqueName="[tbl_HR_Analytics]" displayFolder="" count="0" memberValueDatatype="20" unbalanced="0"/>
    <cacheHierarchy uniqueName="[tbl_HR_Analytics].[Gender]" caption="Gender" attribute="1" defaultMemberUniqueName="[tbl_HR_Analytics].[Gender].[All]" allUniqueName="[tbl_HR_Analytics].[Gender].[All]" dimensionUniqueName="[tbl_HR_Analytics]" displayFolder="" count="2" memberValueDatatype="130" unbalanced="0">
      <fieldsUsage count="2">
        <fieldUsage x="-1"/>
        <fieldUsage x="3"/>
      </fieldsUsage>
    </cacheHierarchy>
    <cacheHierarchy uniqueName="[tbl_HR_Analytics].[HourlyRate]" caption="HourlyRate" attribute="1" defaultMemberUniqueName="[tbl_HR_Analytics].[HourlyRate].[All]" allUniqueName="[tbl_HR_Analytics].[HourlyRate].[All]" dimensionUniqueName="[tbl_HR_Analytics]" displayFolder="" count="0" memberValueDatatype="20" unbalanced="0"/>
    <cacheHierarchy uniqueName="[tbl_HR_Analytics].[JobInvolvement]" caption="JobInvolvement" attribute="1" defaultMemberUniqueName="[tbl_HR_Analytics].[JobInvolvement].[All]" allUniqueName="[tbl_HR_Analytics].[JobInvolvement].[All]" dimensionUniqueName="[tbl_HR_Analytics]" displayFolder="" count="0" memberValueDatatype="20" unbalanced="0"/>
    <cacheHierarchy uniqueName="[tbl_HR_Analytics].[JobLevel]" caption="JobLevel" attribute="1" defaultMemberUniqueName="[tbl_HR_Analytics].[JobLevel].[All]" allUniqueName="[tbl_HR_Analytics].[JobLevel].[All]" dimensionUniqueName="[tbl_HR_Analytics]" displayFolder="" count="0" memberValueDatatype="20" unbalanced="0"/>
    <cacheHierarchy uniqueName="[tbl_HR_Analytics].[JobRole]" caption="JobRole" attribute="1" defaultMemberUniqueName="[tbl_HR_Analytics].[JobRole].[All]" allUniqueName="[tbl_HR_Analytics].[JobRole].[All]" dimensionUniqueName="[tbl_HR_Analytics]" displayFolder="" count="0" memberValueDatatype="130" unbalanced="0"/>
    <cacheHierarchy uniqueName="[tbl_HR_Analytics].[JobSatisfaction]" caption="JobSatisfaction" attribute="1" defaultMemberUniqueName="[tbl_HR_Analytics].[JobSatisfaction].[All]" allUniqueName="[tbl_HR_Analytics].[JobSatisfaction].[All]" dimensionUniqueName="[tbl_HR_Analytics]" displayFolder="" count="0" memberValueDatatype="20" unbalanced="0"/>
    <cacheHierarchy uniqueName="[tbl_HR_Analytics].[MaritalStatus]" caption="MaritalStatus" attribute="1" defaultMemberUniqueName="[tbl_HR_Analytics].[MaritalStatus].[All]" allUniqueName="[tbl_HR_Analytics].[MaritalStatus].[All]" dimensionUniqueName="[tbl_HR_Analytics]" displayFolder="" count="2" memberValueDatatype="130" unbalanced="0"/>
    <cacheHierarchy uniqueName="[tbl_HR_Analytics].[MonthlyIncome]" caption="MonthlyIncome" attribute="1" defaultMemberUniqueName="[tbl_HR_Analytics].[MonthlyIncome].[All]" allUniqueName="[tbl_HR_Analytics].[MonthlyIncome].[All]" dimensionUniqueName="[tbl_HR_Analytics]" displayFolder="" count="0" memberValueDatatype="20" unbalanced="0"/>
    <cacheHierarchy uniqueName="[tbl_HR_Analytics].[MonthlyRate]" caption="MonthlyRate" attribute="1" defaultMemberUniqueName="[tbl_HR_Analytics].[MonthlyRate].[All]" allUniqueName="[tbl_HR_Analytics].[MonthlyRate].[All]" dimensionUniqueName="[tbl_HR_Analytics]" displayFolder="" count="0" memberValueDatatype="20" unbalanced="0"/>
    <cacheHierarchy uniqueName="[tbl_HR_Analytics].[NumCompaniesWorked]" caption="NumCompaniesWorked" attribute="1" defaultMemberUniqueName="[tbl_HR_Analytics].[NumCompaniesWorked].[All]" allUniqueName="[tbl_HR_Analytics].[NumCompaniesWorked].[All]" dimensionUniqueName="[tbl_HR_Analytics]" displayFolder="" count="0" memberValueDatatype="20" unbalanced="0"/>
    <cacheHierarchy uniqueName="[tbl_HR_Analytics].[Over18]" caption="Over18" attribute="1" defaultMemberUniqueName="[tbl_HR_Analytics].[Over18].[All]" allUniqueName="[tbl_HR_Analytics].[Over18].[All]" dimensionUniqueName="[tbl_HR_Analytics]" displayFolder="" count="0" memberValueDatatype="130" unbalanced="0"/>
    <cacheHierarchy uniqueName="[tbl_HR_Analytics].[OverTime]" caption="OverTime" attribute="1" defaultMemberUniqueName="[tbl_HR_Analytics].[OverTime].[All]" allUniqueName="[tbl_HR_Analytics].[OverTime].[All]" dimensionUniqueName="[tbl_HR_Analytics]" displayFolder="" count="0" memberValueDatatype="130" unbalanced="0"/>
    <cacheHierarchy uniqueName="[tbl_HR_Analytics].[PercentSalaryHike]" caption="PercentSalaryHike" attribute="1" defaultMemberUniqueName="[tbl_HR_Analytics].[PercentSalaryHike].[All]" allUniqueName="[tbl_HR_Analytics].[PercentSalaryHike].[All]" dimensionUniqueName="[tbl_HR_Analytics]" displayFolder="" count="0" memberValueDatatype="20" unbalanced="0"/>
    <cacheHierarchy uniqueName="[tbl_HR_Analytics].[PerformanceRating]" caption="PerformanceRating" attribute="1" defaultMemberUniqueName="[tbl_HR_Analytics].[PerformanceRating].[All]" allUniqueName="[tbl_HR_Analytics].[PerformanceRating].[All]" dimensionUniqueName="[tbl_HR_Analytics]" displayFolder="" count="0" memberValueDatatype="20" unbalanced="0"/>
    <cacheHierarchy uniqueName="[tbl_HR_Analytics].[RelationshipSatisfaction]" caption="RelationshipSatisfaction" attribute="1" defaultMemberUniqueName="[tbl_HR_Analytics].[RelationshipSatisfaction].[All]" allUniqueName="[tbl_HR_Analytics].[RelationshipSatisfaction].[All]" dimensionUniqueName="[tbl_HR_Analytics]" displayFolder="" count="0" memberValueDatatype="20" unbalanced="0"/>
    <cacheHierarchy uniqueName="[tbl_HR_Analytics].[StandardHours]" caption="StandardHours" attribute="1" defaultMemberUniqueName="[tbl_HR_Analytics].[StandardHours].[All]" allUniqueName="[tbl_HR_Analytics].[StandardHours].[All]" dimensionUniqueName="[tbl_HR_Analytics]" displayFolder="" count="0" memberValueDatatype="20" unbalanced="0"/>
    <cacheHierarchy uniqueName="[tbl_HR_Analytics].[StockOptionLevel]" caption="StockOptionLevel" attribute="1" defaultMemberUniqueName="[tbl_HR_Analytics].[StockOptionLevel].[All]" allUniqueName="[tbl_HR_Analytics].[StockOptionLevel].[All]" dimensionUniqueName="[tbl_HR_Analytics]" displayFolder="" count="0" memberValueDatatype="20" unbalanced="0"/>
    <cacheHierarchy uniqueName="[tbl_HR_Analytics].[TotalWorkingYears]" caption="TotalWorkingYears" attribute="1" defaultMemberUniqueName="[tbl_HR_Analytics].[TotalWorkingYears].[All]" allUniqueName="[tbl_HR_Analytics].[TotalWorkingYears].[All]" dimensionUniqueName="[tbl_HR_Analytics]" displayFolder="" count="0" memberValueDatatype="20" unbalanced="0"/>
    <cacheHierarchy uniqueName="[tbl_HR_Analytics].[TrainingTimesLastYear]" caption="TrainingTimesLastYear" attribute="1" defaultMemberUniqueName="[tbl_HR_Analytics].[TrainingTimesLastYear].[All]" allUniqueName="[tbl_HR_Analytics].[TrainingTimesLastYear].[All]" dimensionUniqueName="[tbl_HR_Analytics]" displayFolder="" count="0" memberValueDatatype="20" unbalanced="0"/>
    <cacheHierarchy uniqueName="[tbl_HR_Analytics].[WorkLifeBalance]" caption="WorkLifeBalance" attribute="1" defaultMemberUniqueName="[tbl_HR_Analytics].[WorkLifeBalance].[All]" allUniqueName="[tbl_HR_Analytics].[WorkLifeBalance].[All]" dimensionUniqueName="[tbl_HR_Analytics]" displayFolder="" count="0" memberValueDatatype="20" unbalanced="0"/>
    <cacheHierarchy uniqueName="[tbl_HR_Analytics].[YearsAtCompany]" caption="YearsAtCompany" attribute="1" defaultMemberUniqueName="[tbl_HR_Analytics].[YearsAtCompany].[All]" allUniqueName="[tbl_HR_Analytics].[YearsAtCompany].[All]" dimensionUniqueName="[tbl_HR_Analytics]" displayFolder="" count="0" memberValueDatatype="20" unbalanced="0"/>
    <cacheHierarchy uniqueName="[tbl_HR_Analytics].[YearsInCurrentRole]" caption="YearsInCurrentRole" attribute="1" defaultMemberUniqueName="[tbl_HR_Analytics].[YearsInCurrentRole].[All]" allUniqueName="[tbl_HR_Analytics].[YearsInCurrentRole].[All]" dimensionUniqueName="[tbl_HR_Analytics]" displayFolder="" count="0" memberValueDatatype="20" unbalanced="0"/>
    <cacheHierarchy uniqueName="[tbl_HR_Analytics].[YearsSinceLastPromotion]" caption="YearsSinceLastPromotion" attribute="1" defaultMemberUniqueName="[tbl_HR_Analytics].[YearsSinceLastPromotion].[All]" allUniqueName="[tbl_HR_Analytics].[YearsSinceLastPromotion].[All]" dimensionUniqueName="[tbl_HR_Analytics]" displayFolder="" count="0" memberValueDatatype="20" unbalanced="0"/>
    <cacheHierarchy uniqueName="[tbl_HR_Analytics].[YearsWithCurrManager]" caption="YearsWithCurrManager" attribute="1" defaultMemberUniqueName="[tbl_HR_Analytics].[YearsWithCurrManager].[All]" allUniqueName="[tbl_HR_Analytics].[YearsWithCurrManager].[All]" dimensionUniqueName="[tbl_HR_Analytics]" displayFolder="" count="0" memberValueDatatype="20" unbalanced="0"/>
    <cacheHierarchy uniqueName="[tbl_HR_Analytics].[Attrition Flag]" caption="Attrition Flag" attribute="1" defaultMemberUniqueName="[tbl_HR_Analytics].[Attrition Flag].[All]" allUniqueName="[tbl_HR_Analytics].[Attrition Flag].[All]" dimensionUniqueName="[tbl_HR_Analytics]" displayFolder="" count="0" memberValueDatatype="20" unbalanced="0"/>
    <cacheHierarchy uniqueName="[tbl_HR_Analytics].[Tenure Bucket]" caption="Tenure Bucket" attribute="1" defaultMemberUniqueName="[tbl_HR_Analytics].[Tenure Bucket].[All]" allUniqueName="[tbl_HR_Analytics].[Tenure Bucket].[All]" dimensionUniqueName="[tbl_HR_Analytics]" displayFolder="" count="0" memberValueDatatype="130" unbalanced="0"/>
    <cacheHierarchy uniqueName="[Measures].[Total Headcount]" caption="Total Headcount" measure="1" displayFolder="" measureGroup="tbl_HR_Analytics" count="0" oneField="1">
      <fieldsUsage count="1">
        <fieldUsage x="0"/>
      </fieldsUsage>
    </cacheHierarchy>
    <cacheHierarchy uniqueName="[Measures].[Attrition Count]" caption="Attrition Count" measure="1" displayFolder="" measureGroup="tbl_HR_Analytics" count="0" oneField="1">
      <fieldsUsage count="1">
        <fieldUsage x="1"/>
      </fieldsUsage>
    </cacheHierarchy>
    <cacheHierarchy uniqueName="[Measures].[Attrition Rate (%)]" caption="Attrition Rate (%)" measure="1" displayFolder="" measureGroup="tbl_HR_Analytics" count="0" oneField="1">
      <fieldsUsage count="1">
        <fieldUsage x="2"/>
      </fieldsUsage>
    </cacheHierarchy>
    <cacheHierarchy uniqueName="[Measures].[__XL_Count tbl_HR_Analytics]" caption="__XL_Count tbl_HR_Analytics" measure="1" displayFolder="" measureGroup="tbl_HR_Analytics" count="0" hidden="1"/>
    <cacheHierarchy uniqueName="[Measures].[__No measures defined]" caption="__No measures defined" measure="1" displayFolder="" count="0" hidden="1"/>
  </cacheHierarchies>
  <kpis count="0"/>
  <dimensions count="2">
    <dimension measure="1" name="Measures" uniqueName="[Measures]" caption="Measures"/>
    <dimension name="tbl_HR_Analytics" uniqueName="[tbl_HR_Analytics]" caption="tbl_HR_Analytics"/>
  </dimensions>
  <measureGroups count="1">
    <measureGroup name="tbl_HR_Analytics" caption="tbl_HR_Analytic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 shamallah" refreshedDate="46286.627386111111" backgroundQuery="1" createdVersion="8" refreshedVersion="8" minRefreshableVersion="3" recordCount="0" supportSubquery="1" supportAdvancedDrill="1" xr:uid="{F8783813-952E-40B2-BBCD-AF2AE69F2BD0}">
  <cacheSource type="external" connectionId="2"/>
  <cacheFields count="3">
    <cacheField name="[tbl_HR_Analytics].[OverTime].[OverTime]" caption="OverTime" numFmtId="0" hierarchy="22" level="1">
      <sharedItems count="2">
        <s v="No"/>
        <s v="Yes"/>
      </sharedItems>
    </cacheField>
    <cacheField name="[Measures].[Attrition Rate (%)]" caption="Attrition Rate (%)" numFmtId="0" hierarchy="39" level="32767"/>
    <cacheField name="[tbl_HR_Analytics].[Gender].[Gender]" caption="Gender" numFmtId="0" hierarchy="11" level="1">
      <sharedItems containsSemiMixedTypes="0" containsNonDate="0" containsString="0"/>
    </cacheField>
  </cacheFields>
  <cacheHierarchies count="42">
    <cacheHierarchy uniqueName="[tbl_HR_Analytics].[Age]" caption="Age" attribute="1" defaultMemberUniqueName="[tbl_HR_Analytics].[Age].[All]" allUniqueName="[tbl_HR_Analytics].[Age].[All]" dimensionUniqueName="[tbl_HR_Analytics]" displayFolder="" count="0" memberValueDatatype="20" unbalanced="0"/>
    <cacheHierarchy uniqueName="[tbl_HR_Analytics].[Attrition]" caption="Attrition" attribute="1" defaultMemberUniqueName="[tbl_HR_Analytics].[Attrition].[All]" allUniqueName="[tbl_HR_Analytics].[Attrition].[All]" dimensionUniqueName="[tbl_HR_Analytics]" displayFolder="" count="0" memberValueDatatype="130" unbalanced="0"/>
    <cacheHierarchy uniqueName="[tbl_HR_Analytics].[BusinessTravel]" caption="BusinessTravel" attribute="1" defaultMemberUniqueName="[tbl_HR_Analytics].[BusinessTravel].[All]" allUniqueName="[tbl_HR_Analytics].[BusinessTravel].[All]" dimensionUniqueName="[tbl_HR_Analytics]" displayFolder="" count="0" memberValueDatatype="130" unbalanced="0"/>
    <cacheHierarchy uniqueName="[tbl_HR_Analytics].[DailyRate]" caption="DailyRate" attribute="1" defaultMemberUniqueName="[tbl_HR_Analytics].[DailyRate].[All]" allUniqueName="[tbl_HR_Analytics].[DailyRate].[All]" dimensionUniqueName="[tbl_HR_Analytics]" displayFolder="" count="0" memberValueDatatype="20" unbalanced="0"/>
    <cacheHierarchy uniqueName="[tbl_HR_Analytics].[Department]" caption="Department" attribute="1" defaultMemberUniqueName="[tbl_HR_Analytics].[Department].[All]" allUniqueName="[tbl_HR_Analytics].[Department].[All]" dimensionUniqueName="[tbl_HR_Analytics]" displayFolder="" count="2" memberValueDatatype="130" unbalanced="0"/>
    <cacheHierarchy uniqueName="[tbl_HR_Analytics].[DistanceFromHome]" caption="DistanceFromHome" attribute="1" defaultMemberUniqueName="[tbl_HR_Analytics].[DistanceFromHome].[All]" allUniqueName="[tbl_HR_Analytics].[DistanceFromHome].[All]" dimensionUniqueName="[tbl_HR_Analytics]" displayFolder="" count="0" memberValueDatatype="20" unbalanced="0"/>
    <cacheHierarchy uniqueName="[tbl_HR_Analytics].[Education]" caption="Education" attribute="1" defaultMemberUniqueName="[tbl_HR_Analytics].[Education].[All]" allUniqueName="[tbl_HR_Analytics].[Education].[All]" dimensionUniqueName="[tbl_HR_Analytics]" displayFolder="" count="0" memberValueDatatype="20" unbalanced="0"/>
    <cacheHierarchy uniqueName="[tbl_HR_Analytics].[EducationField]" caption="EducationField" attribute="1" defaultMemberUniqueName="[tbl_HR_Analytics].[EducationField].[All]" allUniqueName="[tbl_HR_Analytics].[EducationField].[All]" dimensionUniqueName="[tbl_HR_Analytics]" displayFolder="" count="0" memberValueDatatype="130" unbalanced="0"/>
    <cacheHierarchy uniqueName="[tbl_HR_Analytics].[EmployeeCount]" caption="EmployeeCount" attribute="1" defaultMemberUniqueName="[tbl_HR_Analytics].[EmployeeCount].[All]" allUniqueName="[tbl_HR_Analytics].[EmployeeCount].[All]" dimensionUniqueName="[tbl_HR_Analytics]" displayFolder="" count="0" memberValueDatatype="20" unbalanced="0"/>
    <cacheHierarchy uniqueName="[tbl_HR_Analytics].[EmployeeNumber]" caption="EmployeeNumber" attribute="1" defaultMemberUniqueName="[tbl_HR_Analytics].[EmployeeNumber].[All]" allUniqueName="[tbl_HR_Analytics].[EmployeeNumber].[All]" dimensionUniqueName="[tbl_HR_Analytics]" displayFolder="" count="0" memberValueDatatype="20" unbalanced="0"/>
    <cacheHierarchy uniqueName="[tbl_HR_Analytics].[EnvironmentSatisfaction]" caption="EnvironmentSatisfaction" attribute="1" defaultMemberUniqueName="[tbl_HR_Analytics].[EnvironmentSatisfaction].[All]" allUniqueName="[tbl_HR_Analytics].[EnvironmentSatisfaction].[All]" dimensionUniqueName="[tbl_HR_Analytics]" displayFolder="" count="0" memberValueDatatype="20" unbalanced="0"/>
    <cacheHierarchy uniqueName="[tbl_HR_Analytics].[Gender]" caption="Gender" attribute="1" defaultMemberUniqueName="[tbl_HR_Analytics].[Gender].[All]" allUniqueName="[tbl_HR_Analytics].[Gender].[All]" dimensionUniqueName="[tbl_HR_Analytics]" displayFolder="" count="2" memberValueDatatype="130" unbalanced="0">
      <fieldsUsage count="2">
        <fieldUsage x="-1"/>
        <fieldUsage x="2"/>
      </fieldsUsage>
    </cacheHierarchy>
    <cacheHierarchy uniqueName="[tbl_HR_Analytics].[HourlyRate]" caption="HourlyRate" attribute="1" defaultMemberUniqueName="[tbl_HR_Analytics].[HourlyRate].[All]" allUniqueName="[tbl_HR_Analytics].[HourlyRate].[All]" dimensionUniqueName="[tbl_HR_Analytics]" displayFolder="" count="0" memberValueDatatype="20" unbalanced="0"/>
    <cacheHierarchy uniqueName="[tbl_HR_Analytics].[JobInvolvement]" caption="JobInvolvement" attribute="1" defaultMemberUniqueName="[tbl_HR_Analytics].[JobInvolvement].[All]" allUniqueName="[tbl_HR_Analytics].[JobInvolvement].[All]" dimensionUniqueName="[tbl_HR_Analytics]" displayFolder="" count="0" memberValueDatatype="20" unbalanced="0"/>
    <cacheHierarchy uniqueName="[tbl_HR_Analytics].[JobLevel]" caption="JobLevel" attribute="1" defaultMemberUniqueName="[tbl_HR_Analytics].[JobLevel].[All]" allUniqueName="[tbl_HR_Analytics].[JobLevel].[All]" dimensionUniqueName="[tbl_HR_Analytics]" displayFolder="" count="0" memberValueDatatype="20" unbalanced="0"/>
    <cacheHierarchy uniqueName="[tbl_HR_Analytics].[JobRole]" caption="JobRole" attribute="1" defaultMemberUniqueName="[tbl_HR_Analytics].[JobRole].[All]" allUniqueName="[tbl_HR_Analytics].[JobRole].[All]" dimensionUniqueName="[tbl_HR_Analytics]" displayFolder="" count="0" memberValueDatatype="130" unbalanced="0"/>
    <cacheHierarchy uniqueName="[tbl_HR_Analytics].[JobSatisfaction]" caption="JobSatisfaction" attribute="1" defaultMemberUniqueName="[tbl_HR_Analytics].[JobSatisfaction].[All]" allUniqueName="[tbl_HR_Analytics].[JobSatisfaction].[All]" dimensionUniqueName="[tbl_HR_Analytics]" displayFolder="" count="0" memberValueDatatype="20" unbalanced="0"/>
    <cacheHierarchy uniqueName="[tbl_HR_Analytics].[MaritalStatus]" caption="MaritalStatus" attribute="1" defaultMemberUniqueName="[tbl_HR_Analytics].[MaritalStatus].[All]" allUniqueName="[tbl_HR_Analytics].[MaritalStatus].[All]" dimensionUniqueName="[tbl_HR_Analytics]" displayFolder="" count="2" memberValueDatatype="130" unbalanced="0"/>
    <cacheHierarchy uniqueName="[tbl_HR_Analytics].[MonthlyIncome]" caption="MonthlyIncome" attribute="1" defaultMemberUniqueName="[tbl_HR_Analytics].[MonthlyIncome].[All]" allUniqueName="[tbl_HR_Analytics].[MonthlyIncome].[All]" dimensionUniqueName="[tbl_HR_Analytics]" displayFolder="" count="0" memberValueDatatype="20" unbalanced="0"/>
    <cacheHierarchy uniqueName="[tbl_HR_Analytics].[MonthlyRate]" caption="MonthlyRate" attribute="1" defaultMemberUniqueName="[tbl_HR_Analytics].[MonthlyRate].[All]" allUniqueName="[tbl_HR_Analytics].[MonthlyRate].[All]" dimensionUniqueName="[tbl_HR_Analytics]" displayFolder="" count="0" memberValueDatatype="20" unbalanced="0"/>
    <cacheHierarchy uniqueName="[tbl_HR_Analytics].[NumCompaniesWorked]" caption="NumCompaniesWorked" attribute="1" defaultMemberUniqueName="[tbl_HR_Analytics].[NumCompaniesWorked].[All]" allUniqueName="[tbl_HR_Analytics].[NumCompaniesWorked].[All]" dimensionUniqueName="[tbl_HR_Analytics]" displayFolder="" count="0" memberValueDatatype="20" unbalanced="0"/>
    <cacheHierarchy uniqueName="[tbl_HR_Analytics].[Over18]" caption="Over18" attribute="1" defaultMemberUniqueName="[tbl_HR_Analytics].[Over18].[All]" allUniqueName="[tbl_HR_Analytics].[Over18].[All]" dimensionUniqueName="[tbl_HR_Analytics]" displayFolder="" count="0" memberValueDatatype="130" unbalanced="0"/>
    <cacheHierarchy uniqueName="[tbl_HR_Analytics].[OverTime]" caption="OverTime" attribute="1" defaultMemberUniqueName="[tbl_HR_Analytics].[OverTime].[All]" allUniqueName="[tbl_HR_Analytics].[OverTime].[All]" dimensionUniqueName="[tbl_HR_Analytics]" displayFolder="" count="2" memberValueDatatype="130" unbalanced="0">
      <fieldsUsage count="2">
        <fieldUsage x="-1"/>
        <fieldUsage x="0"/>
      </fieldsUsage>
    </cacheHierarchy>
    <cacheHierarchy uniqueName="[tbl_HR_Analytics].[PercentSalaryHike]" caption="PercentSalaryHike" attribute="1" defaultMemberUniqueName="[tbl_HR_Analytics].[PercentSalaryHike].[All]" allUniqueName="[tbl_HR_Analytics].[PercentSalaryHike].[All]" dimensionUniqueName="[tbl_HR_Analytics]" displayFolder="" count="0" memberValueDatatype="20" unbalanced="0"/>
    <cacheHierarchy uniqueName="[tbl_HR_Analytics].[PerformanceRating]" caption="PerformanceRating" attribute="1" defaultMemberUniqueName="[tbl_HR_Analytics].[PerformanceRating].[All]" allUniqueName="[tbl_HR_Analytics].[PerformanceRating].[All]" dimensionUniqueName="[tbl_HR_Analytics]" displayFolder="" count="0" memberValueDatatype="20" unbalanced="0"/>
    <cacheHierarchy uniqueName="[tbl_HR_Analytics].[RelationshipSatisfaction]" caption="RelationshipSatisfaction" attribute="1" defaultMemberUniqueName="[tbl_HR_Analytics].[RelationshipSatisfaction].[All]" allUniqueName="[tbl_HR_Analytics].[RelationshipSatisfaction].[All]" dimensionUniqueName="[tbl_HR_Analytics]" displayFolder="" count="0" memberValueDatatype="20" unbalanced="0"/>
    <cacheHierarchy uniqueName="[tbl_HR_Analytics].[StandardHours]" caption="StandardHours" attribute="1" defaultMemberUniqueName="[tbl_HR_Analytics].[StandardHours].[All]" allUniqueName="[tbl_HR_Analytics].[StandardHours].[All]" dimensionUniqueName="[tbl_HR_Analytics]" displayFolder="" count="0" memberValueDatatype="20" unbalanced="0"/>
    <cacheHierarchy uniqueName="[tbl_HR_Analytics].[StockOptionLevel]" caption="StockOptionLevel" attribute="1" defaultMemberUniqueName="[tbl_HR_Analytics].[StockOptionLevel].[All]" allUniqueName="[tbl_HR_Analytics].[StockOptionLevel].[All]" dimensionUniqueName="[tbl_HR_Analytics]" displayFolder="" count="0" memberValueDatatype="20" unbalanced="0"/>
    <cacheHierarchy uniqueName="[tbl_HR_Analytics].[TotalWorkingYears]" caption="TotalWorkingYears" attribute="1" defaultMemberUniqueName="[tbl_HR_Analytics].[TotalWorkingYears].[All]" allUniqueName="[tbl_HR_Analytics].[TotalWorkingYears].[All]" dimensionUniqueName="[tbl_HR_Analytics]" displayFolder="" count="0" memberValueDatatype="20" unbalanced="0"/>
    <cacheHierarchy uniqueName="[tbl_HR_Analytics].[TrainingTimesLastYear]" caption="TrainingTimesLastYear" attribute="1" defaultMemberUniqueName="[tbl_HR_Analytics].[TrainingTimesLastYear].[All]" allUniqueName="[tbl_HR_Analytics].[TrainingTimesLastYear].[All]" dimensionUniqueName="[tbl_HR_Analytics]" displayFolder="" count="0" memberValueDatatype="20" unbalanced="0"/>
    <cacheHierarchy uniqueName="[tbl_HR_Analytics].[WorkLifeBalance]" caption="WorkLifeBalance" attribute="1" defaultMemberUniqueName="[tbl_HR_Analytics].[WorkLifeBalance].[All]" allUniqueName="[tbl_HR_Analytics].[WorkLifeBalance].[All]" dimensionUniqueName="[tbl_HR_Analytics]" displayFolder="" count="0" memberValueDatatype="20" unbalanced="0"/>
    <cacheHierarchy uniqueName="[tbl_HR_Analytics].[YearsAtCompany]" caption="YearsAtCompany" attribute="1" defaultMemberUniqueName="[tbl_HR_Analytics].[YearsAtCompany].[All]" allUniqueName="[tbl_HR_Analytics].[YearsAtCompany].[All]" dimensionUniqueName="[tbl_HR_Analytics]" displayFolder="" count="0" memberValueDatatype="20" unbalanced="0"/>
    <cacheHierarchy uniqueName="[tbl_HR_Analytics].[YearsInCurrentRole]" caption="YearsInCurrentRole" attribute="1" defaultMemberUniqueName="[tbl_HR_Analytics].[YearsInCurrentRole].[All]" allUniqueName="[tbl_HR_Analytics].[YearsInCurrentRole].[All]" dimensionUniqueName="[tbl_HR_Analytics]" displayFolder="" count="0" memberValueDatatype="20" unbalanced="0"/>
    <cacheHierarchy uniqueName="[tbl_HR_Analytics].[YearsSinceLastPromotion]" caption="YearsSinceLastPromotion" attribute="1" defaultMemberUniqueName="[tbl_HR_Analytics].[YearsSinceLastPromotion].[All]" allUniqueName="[tbl_HR_Analytics].[YearsSinceLastPromotion].[All]" dimensionUniqueName="[tbl_HR_Analytics]" displayFolder="" count="0" memberValueDatatype="20" unbalanced="0"/>
    <cacheHierarchy uniqueName="[tbl_HR_Analytics].[YearsWithCurrManager]" caption="YearsWithCurrManager" attribute="1" defaultMemberUniqueName="[tbl_HR_Analytics].[YearsWithCurrManager].[All]" allUniqueName="[tbl_HR_Analytics].[YearsWithCurrManager].[All]" dimensionUniqueName="[tbl_HR_Analytics]" displayFolder="" count="0" memberValueDatatype="20" unbalanced="0"/>
    <cacheHierarchy uniqueName="[tbl_HR_Analytics].[Attrition Flag]" caption="Attrition Flag" attribute="1" defaultMemberUniqueName="[tbl_HR_Analytics].[Attrition Flag].[All]" allUniqueName="[tbl_HR_Analytics].[Attrition Flag].[All]" dimensionUniqueName="[tbl_HR_Analytics]" displayFolder="" count="0" memberValueDatatype="20" unbalanced="0"/>
    <cacheHierarchy uniqueName="[tbl_HR_Analytics].[Tenure Bucket]" caption="Tenure Bucket" attribute="1" defaultMemberUniqueName="[tbl_HR_Analytics].[Tenure Bucket].[All]" allUniqueName="[tbl_HR_Analytics].[Tenure Bucket].[All]" dimensionUniqueName="[tbl_HR_Analytics]" displayFolder="" count="0" memberValueDatatype="130" unbalanced="0"/>
    <cacheHierarchy uniqueName="[Measures].[Total Headcount]" caption="Total Headcount" measure="1" displayFolder="" measureGroup="tbl_HR_Analytics" count="0"/>
    <cacheHierarchy uniqueName="[Measures].[Attrition Count]" caption="Attrition Count" measure="1" displayFolder="" measureGroup="tbl_HR_Analytics" count="0"/>
    <cacheHierarchy uniqueName="[Measures].[Attrition Rate (%)]" caption="Attrition Rate (%)" measure="1" displayFolder="" measureGroup="tbl_HR_Analytics" count="0" oneField="1">
      <fieldsUsage count="1">
        <fieldUsage x="1"/>
      </fieldsUsage>
    </cacheHierarchy>
    <cacheHierarchy uniqueName="[Measures].[__XL_Count tbl_HR_Analytics]" caption="__XL_Count tbl_HR_Analytics" measure="1" displayFolder="" measureGroup="tbl_HR_Analytics" count="0" hidden="1"/>
    <cacheHierarchy uniqueName="[Measures].[__No measures defined]" caption="__No measures defined" measure="1" displayFolder="" count="0" hidden="1"/>
  </cacheHierarchies>
  <kpis count="0"/>
  <dimensions count="2">
    <dimension measure="1" name="Measures" uniqueName="[Measures]" caption="Measures"/>
    <dimension name="tbl_HR_Analytics" uniqueName="[tbl_HR_Analytics]" caption="tbl_HR_Analytics"/>
  </dimensions>
  <measureGroups count="1">
    <measureGroup name="tbl_HR_Analytics" caption="tbl_HR_Analytic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 shamallah" refreshedDate="46286.627386458335" backgroundQuery="1" createdVersion="8" refreshedVersion="8" minRefreshableVersion="3" recordCount="0" supportSubquery="1" supportAdvancedDrill="1" xr:uid="{0F83CF56-0087-48BC-A4AF-117A6C2FEBC4}">
  <cacheSource type="external" connectionId="2"/>
  <cacheFields count="3">
    <cacheField name="[tbl_HR_Analytics].[Tenure Bucket].[Tenure Bucket]" caption="Tenure Bucket" numFmtId="0" hierarchy="36" level="1">
      <sharedItems count="5">
        <s v="&lt;1 Year"/>
        <s v="10+ Years"/>
        <s v="1-3 Years"/>
        <s v="3-5 Years"/>
        <s v="5-10 Years"/>
      </sharedItems>
    </cacheField>
    <cacheField name="[Measures].[Attrition Rate (%)]" caption="Attrition Rate (%)" numFmtId="0" hierarchy="39" level="32767"/>
    <cacheField name="[tbl_HR_Analytics].[Gender].[Gender]" caption="Gender" numFmtId="0" hierarchy="11" level="1">
      <sharedItems containsSemiMixedTypes="0" containsNonDate="0" containsString="0"/>
    </cacheField>
  </cacheFields>
  <cacheHierarchies count="42">
    <cacheHierarchy uniqueName="[tbl_HR_Analytics].[Age]" caption="Age" attribute="1" defaultMemberUniqueName="[tbl_HR_Analytics].[Age].[All]" allUniqueName="[tbl_HR_Analytics].[Age].[All]" dimensionUniqueName="[tbl_HR_Analytics]" displayFolder="" count="0" memberValueDatatype="20" unbalanced="0"/>
    <cacheHierarchy uniqueName="[tbl_HR_Analytics].[Attrition]" caption="Attrition" attribute="1" defaultMemberUniqueName="[tbl_HR_Analytics].[Attrition].[All]" allUniqueName="[tbl_HR_Analytics].[Attrition].[All]" dimensionUniqueName="[tbl_HR_Analytics]" displayFolder="" count="0" memberValueDatatype="130" unbalanced="0"/>
    <cacheHierarchy uniqueName="[tbl_HR_Analytics].[BusinessTravel]" caption="BusinessTravel" attribute="1" defaultMemberUniqueName="[tbl_HR_Analytics].[BusinessTravel].[All]" allUniqueName="[tbl_HR_Analytics].[BusinessTravel].[All]" dimensionUniqueName="[tbl_HR_Analytics]" displayFolder="" count="0" memberValueDatatype="130" unbalanced="0"/>
    <cacheHierarchy uniqueName="[tbl_HR_Analytics].[DailyRate]" caption="DailyRate" attribute="1" defaultMemberUniqueName="[tbl_HR_Analytics].[DailyRate].[All]" allUniqueName="[tbl_HR_Analytics].[DailyRate].[All]" dimensionUniqueName="[tbl_HR_Analytics]" displayFolder="" count="0" memberValueDatatype="20" unbalanced="0"/>
    <cacheHierarchy uniqueName="[tbl_HR_Analytics].[Department]" caption="Department" attribute="1" defaultMemberUniqueName="[tbl_HR_Analytics].[Department].[All]" allUniqueName="[tbl_HR_Analytics].[Department].[All]" dimensionUniqueName="[tbl_HR_Analytics]" displayFolder="" count="2" memberValueDatatype="130" unbalanced="0"/>
    <cacheHierarchy uniqueName="[tbl_HR_Analytics].[DistanceFromHome]" caption="DistanceFromHome" attribute="1" defaultMemberUniqueName="[tbl_HR_Analytics].[DistanceFromHome].[All]" allUniqueName="[tbl_HR_Analytics].[DistanceFromHome].[All]" dimensionUniqueName="[tbl_HR_Analytics]" displayFolder="" count="0" memberValueDatatype="20" unbalanced="0"/>
    <cacheHierarchy uniqueName="[tbl_HR_Analytics].[Education]" caption="Education" attribute="1" defaultMemberUniqueName="[tbl_HR_Analytics].[Education].[All]" allUniqueName="[tbl_HR_Analytics].[Education].[All]" dimensionUniqueName="[tbl_HR_Analytics]" displayFolder="" count="0" memberValueDatatype="20" unbalanced="0"/>
    <cacheHierarchy uniqueName="[tbl_HR_Analytics].[EducationField]" caption="EducationField" attribute="1" defaultMemberUniqueName="[tbl_HR_Analytics].[EducationField].[All]" allUniqueName="[tbl_HR_Analytics].[EducationField].[All]" dimensionUniqueName="[tbl_HR_Analytics]" displayFolder="" count="0" memberValueDatatype="130" unbalanced="0"/>
    <cacheHierarchy uniqueName="[tbl_HR_Analytics].[EmployeeCount]" caption="EmployeeCount" attribute="1" defaultMemberUniqueName="[tbl_HR_Analytics].[EmployeeCount].[All]" allUniqueName="[tbl_HR_Analytics].[EmployeeCount].[All]" dimensionUniqueName="[tbl_HR_Analytics]" displayFolder="" count="0" memberValueDatatype="20" unbalanced="0"/>
    <cacheHierarchy uniqueName="[tbl_HR_Analytics].[EmployeeNumber]" caption="EmployeeNumber" attribute="1" defaultMemberUniqueName="[tbl_HR_Analytics].[EmployeeNumber].[All]" allUniqueName="[tbl_HR_Analytics].[EmployeeNumber].[All]" dimensionUniqueName="[tbl_HR_Analytics]" displayFolder="" count="0" memberValueDatatype="20" unbalanced="0"/>
    <cacheHierarchy uniqueName="[tbl_HR_Analytics].[EnvironmentSatisfaction]" caption="EnvironmentSatisfaction" attribute="1" defaultMemberUniqueName="[tbl_HR_Analytics].[EnvironmentSatisfaction].[All]" allUniqueName="[tbl_HR_Analytics].[EnvironmentSatisfaction].[All]" dimensionUniqueName="[tbl_HR_Analytics]" displayFolder="" count="0" memberValueDatatype="20" unbalanced="0"/>
    <cacheHierarchy uniqueName="[tbl_HR_Analytics].[Gender]" caption="Gender" attribute="1" defaultMemberUniqueName="[tbl_HR_Analytics].[Gender].[All]" allUniqueName="[tbl_HR_Analytics].[Gender].[All]" dimensionUniqueName="[tbl_HR_Analytics]" displayFolder="" count="2" memberValueDatatype="130" unbalanced="0">
      <fieldsUsage count="2">
        <fieldUsage x="-1"/>
        <fieldUsage x="2"/>
      </fieldsUsage>
    </cacheHierarchy>
    <cacheHierarchy uniqueName="[tbl_HR_Analytics].[HourlyRate]" caption="HourlyRate" attribute="1" defaultMemberUniqueName="[tbl_HR_Analytics].[HourlyRate].[All]" allUniqueName="[tbl_HR_Analytics].[HourlyRate].[All]" dimensionUniqueName="[tbl_HR_Analytics]" displayFolder="" count="0" memberValueDatatype="20" unbalanced="0"/>
    <cacheHierarchy uniqueName="[tbl_HR_Analytics].[JobInvolvement]" caption="JobInvolvement" attribute="1" defaultMemberUniqueName="[tbl_HR_Analytics].[JobInvolvement].[All]" allUniqueName="[tbl_HR_Analytics].[JobInvolvement].[All]" dimensionUniqueName="[tbl_HR_Analytics]" displayFolder="" count="0" memberValueDatatype="20" unbalanced="0"/>
    <cacheHierarchy uniqueName="[tbl_HR_Analytics].[JobLevel]" caption="JobLevel" attribute="1" defaultMemberUniqueName="[tbl_HR_Analytics].[JobLevel].[All]" allUniqueName="[tbl_HR_Analytics].[JobLevel].[All]" dimensionUniqueName="[tbl_HR_Analytics]" displayFolder="" count="0" memberValueDatatype="20" unbalanced="0"/>
    <cacheHierarchy uniqueName="[tbl_HR_Analytics].[JobRole]" caption="JobRole" attribute="1" defaultMemberUniqueName="[tbl_HR_Analytics].[JobRole].[All]" allUniqueName="[tbl_HR_Analytics].[JobRole].[All]" dimensionUniqueName="[tbl_HR_Analytics]" displayFolder="" count="0" memberValueDatatype="130" unbalanced="0"/>
    <cacheHierarchy uniqueName="[tbl_HR_Analytics].[JobSatisfaction]" caption="JobSatisfaction" attribute="1" defaultMemberUniqueName="[tbl_HR_Analytics].[JobSatisfaction].[All]" allUniqueName="[tbl_HR_Analytics].[JobSatisfaction].[All]" dimensionUniqueName="[tbl_HR_Analytics]" displayFolder="" count="0" memberValueDatatype="20" unbalanced="0"/>
    <cacheHierarchy uniqueName="[tbl_HR_Analytics].[MaritalStatus]" caption="MaritalStatus" attribute="1" defaultMemberUniqueName="[tbl_HR_Analytics].[MaritalStatus].[All]" allUniqueName="[tbl_HR_Analytics].[MaritalStatus].[All]" dimensionUniqueName="[tbl_HR_Analytics]" displayFolder="" count="2" memberValueDatatype="130" unbalanced="0"/>
    <cacheHierarchy uniqueName="[tbl_HR_Analytics].[MonthlyIncome]" caption="MonthlyIncome" attribute="1" defaultMemberUniqueName="[tbl_HR_Analytics].[MonthlyIncome].[All]" allUniqueName="[tbl_HR_Analytics].[MonthlyIncome].[All]" dimensionUniqueName="[tbl_HR_Analytics]" displayFolder="" count="0" memberValueDatatype="20" unbalanced="0"/>
    <cacheHierarchy uniqueName="[tbl_HR_Analytics].[MonthlyRate]" caption="MonthlyRate" attribute="1" defaultMemberUniqueName="[tbl_HR_Analytics].[MonthlyRate].[All]" allUniqueName="[tbl_HR_Analytics].[MonthlyRate].[All]" dimensionUniqueName="[tbl_HR_Analytics]" displayFolder="" count="0" memberValueDatatype="20" unbalanced="0"/>
    <cacheHierarchy uniqueName="[tbl_HR_Analytics].[NumCompaniesWorked]" caption="NumCompaniesWorked" attribute="1" defaultMemberUniqueName="[tbl_HR_Analytics].[NumCompaniesWorked].[All]" allUniqueName="[tbl_HR_Analytics].[NumCompaniesWorked].[All]" dimensionUniqueName="[tbl_HR_Analytics]" displayFolder="" count="0" memberValueDatatype="20" unbalanced="0"/>
    <cacheHierarchy uniqueName="[tbl_HR_Analytics].[Over18]" caption="Over18" attribute="1" defaultMemberUniqueName="[tbl_HR_Analytics].[Over18].[All]" allUniqueName="[tbl_HR_Analytics].[Over18].[All]" dimensionUniqueName="[tbl_HR_Analytics]" displayFolder="" count="0" memberValueDatatype="130" unbalanced="0"/>
    <cacheHierarchy uniqueName="[tbl_HR_Analytics].[OverTime]" caption="OverTime" attribute="1" defaultMemberUniqueName="[tbl_HR_Analytics].[OverTime].[All]" allUniqueName="[tbl_HR_Analytics].[OverTime].[All]" dimensionUniqueName="[tbl_HR_Analytics]" displayFolder="" count="0" memberValueDatatype="130" unbalanced="0"/>
    <cacheHierarchy uniqueName="[tbl_HR_Analytics].[PercentSalaryHike]" caption="PercentSalaryHike" attribute="1" defaultMemberUniqueName="[tbl_HR_Analytics].[PercentSalaryHike].[All]" allUniqueName="[tbl_HR_Analytics].[PercentSalaryHike].[All]" dimensionUniqueName="[tbl_HR_Analytics]" displayFolder="" count="0" memberValueDatatype="20" unbalanced="0"/>
    <cacheHierarchy uniqueName="[tbl_HR_Analytics].[PerformanceRating]" caption="PerformanceRating" attribute="1" defaultMemberUniqueName="[tbl_HR_Analytics].[PerformanceRating].[All]" allUniqueName="[tbl_HR_Analytics].[PerformanceRating].[All]" dimensionUniqueName="[tbl_HR_Analytics]" displayFolder="" count="0" memberValueDatatype="20" unbalanced="0"/>
    <cacheHierarchy uniqueName="[tbl_HR_Analytics].[RelationshipSatisfaction]" caption="RelationshipSatisfaction" attribute="1" defaultMemberUniqueName="[tbl_HR_Analytics].[RelationshipSatisfaction].[All]" allUniqueName="[tbl_HR_Analytics].[RelationshipSatisfaction].[All]" dimensionUniqueName="[tbl_HR_Analytics]" displayFolder="" count="0" memberValueDatatype="20" unbalanced="0"/>
    <cacheHierarchy uniqueName="[tbl_HR_Analytics].[StandardHours]" caption="StandardHours" attribute="1" defaultMemberUniqueName="[tbl_HR_Analytics].[StandardHours].[All]" allUniqueName="[tbl_HR_Analytics].[StandardHours].[All]" dimensionUniqueName="[tbl_HR_Analytics]" displayFolder="" count="0" memberValueDatatype="20" unbalanced="0"/>
    <cacheHierarchy uniqueName="[tbl_HR_Analytics].[StockOptionLevel]" caption="StockOptionLevel" attribute="1" defaultMemberUniqueName="[tbl_HR_Analytics].[StockOptionLevel].[All]" allUniqueName="[tbl_HR_Analytics].[StockOptionLevel].[All]" dimensionUniqueName="[tbl_HR_Analytics]" displayFolder="" count="0" memberValueDatatype="20" unbalanced="0"/>
    <cacheHierarchy uniqueName="[tbl_HR_Analytics].[TotalWorkingYears]" caption="TotalWorkingYears" attribute="1" defaultMemberUniqueName="[tbl_HR_Analytics].[TotalWorkingYears].[All]" allUniqueName="[tbl_HR_Analytics].[TotalWorkingYears].[All]" dimensionUniqueName="[tbl_HR_Analytics]" displayFolder="" count="0" memberValueDatatype="20" unbalanced="0"/>
    <cacheHierarchy uniqueName="[tbl_HR_Analytics].[TrainingTimesLastYear]" caption="TrainingTimesLastYear" attribute="1" defaultMemberUniqueName="[tbl_HR_Analytics].[TrainingTimesLastYear].[All]" allUniqueName="[tbl_HR_Analytics].[TrainingTimesLastYear].[All]" dimensionUniqueName="[tbl_HR_Analytics]" displayFolder="" count="0" memberValueDatatype="20" unbalanced="0"/>
    <cacheHierarchy uniqueName="[tbl_HR_Analytics].[WorkLifeBalance]" caption="WorkLifeBalance" attribute="1" defaultMemberUniqueName="[tbl_HR_Analytics].[WorkLifeBalance].[All]" allUniqueName="[tbl_HR_Analytics].[WorkLifeBalance].[All]" dimensionUniqueName="[tbl_HR_Analytics]" displayFolder="" count="0" memberValueDatatype="20" unbalanced="0"/>
    <cacheHierarchy uniqueName="[tbl_HR_Analytics].[YearsAtCompany]" caption="YearsAtCompany" attribute="1" defaultMemberUniqueName="[tbl_HR_Analytics].[YearsAtCompany].[All]" allUniqueName="[tbl_HR_Analytics].[YearsAtCompany].[All]" dimensionUniqueName="[tbl_HR_Analytics]" displayFolder="" count="0" memberValueDatatype="20" unbalanced="0"/>
    <cacheHierarchy uniqueName="[tbl_HR_Analytics].[YearsInCurrentRole]" caption="YearsInCurrentRole" attribute="1" defaultMemberUniqueName="[tbl_HR_Analytics].[YearsInCurrentRole].[All]" allUniqueName="[tbl_HR_Analytics].[YearsInCurrentRole].[All]" dimensionUniqueName="[tbl_HR_Analytics]" displayFolder="" count="0" memberValueDatatype="20" unbalanced="0"/>
    <cacheHierarchy uniqueName="[tbl_HR_Analytics].[YearsSinceLastPromotion]" caption="YearsSinceLastPromotion" attribute="1" defaultMemberUniqueName="[tbl_HR_Analytics].[YearsSinceLastPromotion].[All]" allUniqueName="[tbl_HR_Analytics].[YearsSinceLastPromotion].[All]" dimensionUniqueName="[tbl_HR_Analytics]" displayFolder="" count="0" memberValueDatatype="20" unbalanced="0"/>
    <cacheHierarchy uniqueName="[tbl_HR_Analytics].[YearsWithCurrManager]" caption="YearsWithCurrManager" attribute="1" defaultMemberUniqueName="[tbl_HR_Analytics].[YearsWithCurrManager].[All]" allUniqueName="[tbl_HR_Analytics].[YearsWithCurrManager].[All]" dimensionUniqueName="[tbl_HR_Analytics]" displayFolder="" count="0" memberValueDatatype="20" unbalanced="0"/>
    <cacheHierarchy uniqueName="[tbl_HR_Analytics].[Attrition Flag]" caption="Attrition Flag" attribute="1" defaultMemberUniqueName="[tbl_HR_Analytics].[Attrition Flag].[All]" allUniqueName="[tbl_HR_Analytics].[Attrition Flag].[All]" dimensionUniqueName="[tbl_HR_Analytics]" displayFolder="" count="0" memberValueDatatype="20" unbalanced="0"/>
    <cacheHierarchy uniqueName="[tbl_HR_Analytics].[Tenure Bucket]" caption="Tenure Bucket" attribute="1" defaultMemberUniqueName="[tbl_HR_Analytics].[Tenure Bucket].[All]" allUniqueName="[tbl_HR_Analytics].[Tenure Bucket].[All]" dimensionUniqueName="[tbl_HR_Analytics]" displayFolder="" count="2" memberValueDatatype="130" unbalanced="0">
      <fieldsUsage count="2">
        <fieldUsage x="-1"/>
        <fieldUsage x="0"/>
      </fieldsUsage>
    </cacheHierarchy>
    <cacheHierarchy uniqueName="[Measures].[Total Headcount]" caption="Total Headcount" measure="1" displayFolder="" measureGroup="tbl_HR_Analytics" count="0"/>
    <cacheHierarchy uniqueName="[Measures].[Attrition Count]" caption="Attrition Count" measure="1" displayFolder="" measureGroup="tbl_HR_Analytics" count="0"/>
    <cacheHierarchy uniqueName="[Measures].[Attrition Rate (%)]" caption="Attrition Rate (%)" measure="1" displayFolder="" measureGroup="tbl_HR_Analytics" count="0" oneField="1">
      <fieldsUsage count="1">
        <fieldUsage x="1"/>
      </fieldsUsage>
    </cacheHierarchy>
    <cacheHierarchy uniqueName="[Measures].[__XL_Count tbl_HR_Analytics]" caption="__XL_Count tbl_HR_Analytics" measure="1" displayFolder="" measureGroup="tbl_HR_Analytics" count="0" hidden="1"/>
    <cacheHierarchy uniqueName="[Measures].[__No measures defined]" caption="__No measures defined" measure="1" displayFolder="" count="0" hidden="1"/>
  </cacheHierarchies>
  <kpis count="0"/>
  <dimensions count="2">
    <dimension measure="1" name="Measures" uniqueName="[Measures]" caption="Measures"/>
    <dimension name="tbl_HR_Analytics" uniqueName="[tbl_HR_Analytics]" caption="tbl_HR_Analytics"/>
  </dimensions>
  <measureGroups count="1">
    <measureGroup name="tbl_HR_Analytics" caption="tbl_HR_Analytic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 shamallah" refreshedDate="46286.614249768521" backgroundQuery="1" createdVersion="3" refreshedVersion="8" minRefreshableVersion="3" recordCount="0" supportSubquery="1" supportAdvancedDrill="1" xr:uid="{CF8A13E9-5CE6-4CAA-A39C-DE9B2C2944FB}">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tbl_HR_Analytics].[Age]" caption="Age" attribute="1" defaultMemberUniqueName="[tbl_HR_Analytics].[Age].[All]" allUniqueName="[tbl_HR_Analytics].[Age].[All]" dimensionUniqueName="[tbl_HR_Analytics]" displayFolder="" count="0" memberValueDatatype="20" unbalanced="0"/>
    <cacheHierarchy uniqueName="[tbl_HR_Analytics].[Attrition]" caption="Attrition" attribute="1" defaultMemberUniqueName="[tbl_HR_Analytics].[Attrition].[All]" allUniqueName="[tbl_HR_Analytics].[Attrition].[All]" dimensionUniqueName="[tbl_HR_Analytics]" displayFolder="" count="0" memberValueDatatype="130" unbalanced="0"/>
    <cacheHierarchy uniqueName="[tbl_HR_Analytics].[BusinessTravel]" caption="BusinessTravel" attribute="1" defaultMemberUniqueName="[tbl_HR_Analytics].[BusinessTravel].[All]" allUniqueName="[tbl_HR_Analytics].[BusinessTravel].[All]" dimensionUniqueName="[tbl_HR_Analytics]" displayFolder="" count="0" memberValueDatatype="130" unbalanced="0"/>
    <cacheHierarchy uniqueName="[tbl_HR_Analytics].[DailyRate]" caption="DailyRate" attribute="1" defaultMemberUniqueName="[tbl_HR_Analytics].[DailyRate].[All]" allUniqueName="[tbl_HR_Analytics].[DailyRate].[All]" dimensionUniqueName="[tbl_HR_Analytics]" displayFolder="" count="0" memberValueDatatype="20" unbalanced="0"/>
    <cacheHierarchy uniqueName="[tbl_HR_Analytics].[Department]" caption="Department" attribute="1" defaultMemberUniqueName="[tbl_HR_Analytics].[Department].[All]" allUniqueName="[tbl_HR_Analytics].[Department].[All]" dimensionUniqueName="[tbl_HR_Analytics]" displayFolder="" count="2" memberValueDatatype="130" unbalanced="0"/>
    <cacheHierarchy uniqueName="[tbl_HR_Analytics].[DistanceFromHome]" caption="DistanceFromHome" attribute="1" defaultMemberUniqueName="[tbl_HR_Analytics].[DistanceFromHome].[All]" allUniqueName="[tbl_HR_Analytics].[DistanceFromHome].[All]" dimensionUniqueName="[tbl_HR_Analytics]" displayFolder="" count="0" memberValueDatatype="20" unbalanced="0"/>
    <cacheHierarchy uniqueName="[tbl_HR_Analytics].[Education]" caption="Education" attribute="1" defaultMemberUniqueName="[tbl_HR_Analytics].[Education].[All]" allUniqueName="[tbl_HR_Analytics].[Education].[All]" dimensionUniqueName="[tbl_HR_Analytics]" displayFolder="" count="0" memberValueDatatype="20" unbalanced="0"/>
    <cacheHierarchy uniqueName="[tbl_HR_Analytics].[EducationField]" caption="EducationField" attribute="1" defaultMemberUniqueName="[tbl_HR_Analytics].[EducationField].[All]" allUniqueName="[tbl_HR_Analytics].[EducationField].[All]" dimensionUniqueName="[tbl_HR_Analytics]" displayFolder="" count="0" memberValueDatatype="130" unbalanced="0"/>
    <cacheHierarchy uniqueName="[tbl_HR_Analytics].[EmployeeCount]" caption="EmployeeCount" attribute="1" defaultMemberUniqueName="[tbl_HR_Analytics].[EmployeeCount].[All]" allUniqueName="[tbl_HR_Analytics].[EmployeeCount].[All]" dimensionUniqueName="[tbl_HR_Analytics]" displayFolder="" count="0" memberValueDatatype="20" unbalanced="0"/>
    <cacheHierarchy uniqueName="[tbl_HR_Analytics].[EmployeeNumber]" caption="EmployeeNumber" attribute="1" defaultMemberUniqueName="[tbl_HR_Analytics].[EmployeeNumber].[All]" allUniqueName="[tbl_HR_Analytics].[EmployeeNumber].[All]" dimensionUniqueName="[tbl_HR_Analytics]" displayFolder="" count="0" memberValueDatatype="20" unbalanced="0"/>
    <cacheHierarchy uniqueName="[tbl_HR_Analytics].[EnvironmentSatisfaction]" caption="EnvironmentSatisfaction" attribute="1" defaultMemberUniqueName="[tbl_HR_Analytics].[EnvironmentSatisfaction].[All]" allUniqueName="[tbl_HR_Analytics].[EnvironmentSatisfaction].[All]" dimensionUniqueName="[tbl_HR_Analytics]" displayFolder="" count="0" memberValueDatatype="20" unbalanced="0"/>
    <cacheHierarchy uniqueName="[tbl_HR_Analytics].[Gender]" caption="Gender" attribute="1" defaultMemberUniqueName="[tbl_HR_Analytics].[Gender].[All]" allUniqueName="[tbl_HR_Analytics].[Gender].[All]" dimensionUniqueName="[tbl_HR_Analytics]" displayFolder="" count="2" memberValueDatatype="130" unbalanced="0"/>
    <cacheHierarchy uniqueName="[tbl_HR_Analytics].[HourlyRate]" caption="HourlyRate" attribute="1" defaultMemberUniqueName="[tbl_HR_Analytics].[HourlyRate].[All]" allUniqueName="[tbl_HR_Analytics].[HourlyRate].[All]" dimensionUniqueName="[tbl_HR_Analytics]" displayFolder="" count="0" memberValueDatatype="20" unbalanced="0"/>
    <cacheHierarchy uniqueName="[tbl_HR_Analytics].[JobInvolvement]" caption="JobInvolvement" attribute="1" defaultMemberUniqueName="[tbl_HR_Analytics].[JobInvolvement].[All]" allUniqueName="[tbl_HR_Analytics].[JobInvolvement].[All]" dimensionUniqueName="[tbl_HR_Analytics]" displayFolder="" count="0" memberValueDatatype="20" unbalanced="0"/>
    <cacheHierarchy uniqueName="[tbl_HR_Analytics].[JobLevel]" caption="JobLevel" attribute="1" defaultMemberUniqueName="[tbl_HR_Analytics].[JobLevel].[All]" allUniqueName="[tbl_HR_Analytics].[JobLevel].[All]" dimensionUniqueName="[tbl_HR_Analytics]" displayFolder="" count="0" memberValueDatatype="20" unbalanced="0"/>
    <cacheHierarchy uniqueName="[tbl_HR_Analytics].[JobRole]" caption="JobRole" attribute="1" defaultMemberUniqueName="[tbl_HR_Analytics].[JobRole].[All]" allUniqueName="[tbl_HR_Analytics].[JobRole].[All]" dimensionUniqueName="[tbl_HR_Analytics]" displayFolder="" count="0" memberValueDatatype="130" unbalanced="0"/>
    <cacheHierarchy uniqueName="[tbl_HR_Analytics].[JobSatisfaction]" caption="JobSatisfaction" attribute="1" defaultMemberUniqueName="[tbl_HR_Analytics].[JobSatisfaction].[All]" allUniqueName="[tbl_HR_Analytics].[JobSatisfaction].[All]" dimensionUniqueName="[tbl_HR_Analytics]" displayFolder="" count="0" memberValueDatatype="20" unbalanced="0"/>
    <cacheHierarchy uniqueName="[tbl_HR_Analytics].[MaritalStatus]" caption="MaritalStatus" attribute="1" defaultMemberUniqueName="[tbl_HR_Analytics].[MaritalStatus].[All]" allUniqueName="[tbl_HR_Analytics].[MaritalStatus].[All]" dimensionUniqueName="[tbl_HR_Analytics]" displayFolder="" count="2" memberValueDatatype="130" unbalanced="0"/>
    <cacheHierarchy uniqueName="[tbl_HR_Analytics].[MonthlyIncome]" caption="MonthlyIncome" attribute="1" defaultMemberUniqueName="[tbl_HR_Analytics].[MonthlyIncome].[All]" allUniqueName="[tbl_HR_Analytics].[MonthlyIncome].[All]" dimensionUniqueName="[tbl_HR_Analytics]" displayFolder="" count="0" memberValueDatatype="20" unbalanced="0"/>
    <cacheHierarchy uniqueName="[tbl_HR_Analytics].[MonthlyRate]" caption="MonthlyRate" attribute="1" defaultMemberUniqueName="[tbl_HR_Analytics].[MonthlyRate].[All]" allUniqueName="[tbl_HR_Analytics].[MonthlyRate].[All]" dimensionUniqueName="[tbl_HR_Analytics]" displayFolder="" count="0" memberValueDatatype="20" unbalanced="0"/>
    <cacheHierarchy uniqueName="[tbl_HR_Analytics].[NumCompaniesWorked]" caption="NumCompaniesWorked" attribute="1" defaultMemberUniqueName="[tbl_HR_Analytics].[NumCompaniesWorked].[All]" allUniqueName="[tbl_HR_Analytics].[NumCompaniesWorked].[All]" dimensionUniqueName="[tbl_HR_Analytics]" displayFolder="" count="0" memberValueDatatype="20" unbalanced="0"/>
    <cacheHierarchy uniqueName="[tbl_HR_Analytics].[Over18]" caption="Over18" attribute="1" defaultMemberUniqueName="[tbl_HR_Analytics].[Over18].[All]" allUniqueName="[tbl_HR_Analytics].[Over18].[All]" dimensionUniqueName="[tbl_HR_Analytics]" displayFolder="" count="0" memberValueDatatype="130" unbalanced="0"/>
    <cacheHierarchy uniqueName="[tbl_HR_Analytics].[OverTime]" caption="OverTime" attribute="1" defaultMemberUniqueName="[tbl_HR_Analytics].[OverTime].[All]" allUniqueName="[tbl_HR_Analytics].[OverTime].[All]" dimensionUniqueName="[tbl_HR_Analytics]" displayFolder="" count="0" memberValueDatatype="130" unbalanced="0"/>
    <cacheHierarchy uniqueName="[tbl_HR_Analytics].[PercentSalaryHike]" caption="PercentSalaryHike" attribute="1" defaultMemberUniqueName="[tbl_HR_Analytics].[PercentSalaryHike].[All]" allUniqueName="[tbl_HR_Analytics].[PercentSalaryHike].[All]" dimensionUniqueName="[tbl_HR_Analytics]" displayFolder="" count="0" memberValueDatatype="20" unbalanced="0"/>
    <cacheHierarchy uniqueName="[tbl_HR_Analytics].[PerformanceRating]" caption="PerformanceRating" attribute="1" defaultMemberUniqueName="[tbl_HR_Analytics].[PerformanceRating].[All]" allUniqueName="[tbl_HR_Analytics].[PerformanceRating].[All]" dimensionUniqueName="[tbl_HR_Analytics]" displayFolder="" count="0" memberValueDatatype="20" unbalanced="0"/>
    <cacheHierarchy uniqueName="[tbl_HR_Analytics].[RelationshipSatisfaction]" caption="RelationshipSatisfaction" attribute="1" defaultMemberUniqueName="[tbl_HR_Analytics].[RelationshipSatisfaction].[All]" allUniqueName="[tbl_HR_Analytics].[RelationshipSatisfaction].[All]" dimensionUniqueName="[tbl_HR_Analytics]" displayFolder="" count="0" memberValueDatatype="20" unbalanced="0"/>
    <cacheHierarchy uniqueName="[tbl_HR_Analytics].[StandardHours]" caption="StandardHours" attribute="1" defaultMemberUniqueName="[tbl_HR_Analytics].[StandardHours].[All]" allUniqueName="[tbl_HR_Analytics].[StandardHours].[All]" dimensionUniqueName="[tbl_HR_Analytics]" displayFolder="" count="0" memberValueDatatype="20" unbalanced="0"/>
    <cacheHierarchy uniqueName="[tbl_HR_Analytics].[StockOptionLevel]" caption="StockOptionLevel" attribute="1" defaultMemberUniqueName="[tbl_HR_Analytics].[StockOptionLevel].[All]" allUniqueName="[tbl_HR_Analytics].[StockOptionLevel].[All]" dimensionUniqueName="[tbl_HR_Analytics]" displayFolder="" count="0" memberValueDatatype="20" unbalanced="0"/>
    <cacheHierarchy uniqueName="[tbl_HR_Analytics].[TotalWorkingYears]" caption="TotalWorkingYears" attribute="1" defaultMemberUniqueName="[tbl_HR_Analytics].[TotalWorkingYears].[All]" allUniqueName="[tbl_HR_Analytics].[TotalWorkingYears].[All]" dimensionUniqueName="[tbl_HR_Analytics]" displayFolder="" count="0" memberValueDatatype="20" unbalanced="0"/>
    <cacheHierarchy uniqueName="[tbl_HR_Analytics].[TrainingTimesLastYear]" caption="TrainingTimesLastYear" attribute="1" defaultMemberUniqueName="[tbl_HR_Analytics].[TrainingTimesLastYear].[All]" allUniqueName="[tbl_HR_Analytics].[TrainingTimesLastYear].[All]" dimensionUniqueName="[tbl_HR_Analytics]" displayFolder="" count="0" memberValueDatatype="20" unbalanced="0"/>
    <cacheHierarchy uniqueName="[tbl_HR_Analytics].[WorkLifeBalance]" caption="WorkLifeBalance" attribute="1" defaultMemberUniqueName="[tbl_HR_Analytics].[WorkLifeBalance].[All]" allUniqueName="[tbl_HR_Analytics].[WorkLifeBalance].[All]" dimensionUniqueName="[tbl_HR_Analytics]" displayFolder="" count="0" memberValueDatatype="20" unbalanced="0"/>
    <cacheHierarchy uniqueName="[tbl_HR_Analytics].[YearsAtCompany]" caption="YearsAtCompany" attribute="1" defaultMemberUniqueName="[tbl_HR_Analytics].[YearsAtCompany].[All]" allUniqueName="[tbl_HR_Analytics].[YearsAtCompany].[All]" dimensionUniqueName="[tbl_HR_Analytics]" displayFolder="" count="0" memberValueDatatype="20" unbalanced="0"/>
    <cacheHierarchy uniqueName="[tbl_HR_Analytics].[YearsInCurrentRole]" caption="YearsInCurrentRole" attribute="1" defaultMemberUniqueName="[tbl_HR_Analytics].[YearsInCurrentRole].[All]" allUniqueName="[tbl_HR_Analytics].[YearsInCurrentRole].[All]" dimensionUniqueName="[tbl_HR_Analytics]" displayFolder="" count="0" memberValueDatatype="20" unbalanced="0"/>
    <cacheHierarchy uniqueName="[tbl_HR_Analytics].[YearsSinceLastPromotion]" caption="YearsSinceLastPromotion" attribute="1" defaultMemberUniqueName="[tbl_HR_Analytics].[YearsSinceLastPromotion].[All]" allUniqueName="[tbl_HR_Analytics].[YearsSinceLastPromotion].[All]" dimensionUniqueName="[tbl_HR_Analytics]" displayFolder="" count="0" memberValueDatatype="20" unbalanced="0"/>
    <cacheHierarchy uniqueName="[tbl_HR_Analytics].[YearsWithCurrManager]" caption="YearsWithCurrManager" attribute="1" defaultMemberUniqueName="[tbl_HR_Analytics].[YearsWithCurrManager].[All]" allUniqueName="[tbl_HR_Analytics].[YearsWithCurrManager].[All]" dimensionUniqueName="[tbl_HR_Analytics]" displayFolder="" count="0" memberValueDatatype="20" unbalanced="0"/>
    <cacheHierarchy uniqueName="[tbl_HR_Analytics].[Attrition Flag]" caption="Attrition Flag" attribute="1" defaultMemberUniqueName="[tbl_HR_Analytics].[Attrition Flag].[All]" allUniqueName="[tbl_HR_Analytics].[Attrition Flag].[All]" dimensionUniqueName="[tbl_HR_Analytics]" displayFolder="" count="0" memberValueDatatype="20" unbalanced="0"/>
    <cacheHierarchy uniqueName="[tbl_HR_Analytics].[Tenure Bucket]" caption="Tenure Bucket" attribute="1" defaultMemberUniqueName="[tbl_HR_Analytics].[Tenure Bucket].[All]" allUniqueName="[tbl_HR_Analytics].[Tenure Bucket].[All]" dimensionUniqueName="[tbl_HR_Analytics]" displayFolder="" count="0" memberValueDatatype="130" unbalanced="0"/>
    <cacheHierarchy uniqueName="[Measures].[Total Headcount]" caption="Total Headcount" measure="1" displayFolder="" measureGroup="tbl_HR_Analytics" count="0"/>
    <cacheHierarchy uniqueName="[Measures].[Attrition Count]" caption="Attrition Count" measure="1" displayFolder="" measureGroup="tbl_HR_Analytics" count="0"/>
    <cacheHierarchy uniqueName="[Measures].[Attrition Rate (%)]" caption="Attrition Rate (%)" measure="1" displayFolder="" measureGroup="tbl_HR_Analytics" count="0"/>
    <cacheHierarchy uniqueName="[Measures].[__XL_Count tbl_HR_Analytics]" caption="__XL_Count tbl_HR_Analytics" measure="1" displayFolder="" measureGroup="tbl_HR_Analytic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362788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B1C011-968B-4C64-9436-33DE015DAFDF}" name="PivotTable4" cacheId="665" applyNumberFormats="0" applyBorderFormats="0" applyFontFormats="0" applyPatternFormats="0" applyAlignmentFormats="0" applyWidthHeightFormats="1" dataCaption="Values" tag="bd672466-5920-4a03-810f-4bd5c00181c6" updatedVersion="8" minRefreshableVersion="3" useAutoFormatting="1" itemPrintTitles="1" createdVersion="8" indent="0" outline="1" outlineData="1" multipleFieldFilters="0" chartFormat="4">
  <location ref="E12:F18" firstHeaderRow="1" firstDataRow="1" firstDataCol="1"/>
  <pivotFields count="3">
    <pivotField axis="axisRow" allDrilled="1" subtotalTop="0" showAll="0" defaultSubtotal="0" defaultAttributeDrillState="1">
      <items count="5">
        <item x="0"/>
        <item x="2"/>
        <item x="3"/>
        <item x="4"/>
        <item x="1"/>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3"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C55E60-BDFB-41B7-8D14-F29B0A4BEE6A}" name="PivotTable3" cacheId="662" applyNumberFormats="0" applyBorderFormats="0" applyFontFormats="0" applyPatternFormats="0" applyAlignmentFormats="0" applyWidthHeightFormats="1" dataCaption="Values" tag="a4a4ed6d-35f5-425f-bc19-f8d0c056d038" updatedVersion="8" minRefreshableVersion="3" useAutoFormatting="1" itemPrintTitles="1" createdVersion="8" indent="0" outline="1" outlineData="1" multipleFieldFilters="0" chartFormat="4">
  <location ref="E6:F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1">
    <chartFormat chart="3"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071D82-AD26-4D3F-8D00-345C6F3C01FC}" name="PivotTable2" cacheId="656" applyNumberFormats="0" applyBorderFormats="0" applyFontFormats="0" applyPatternFormats="0" applyAlignmentFormats="0" applyWidthHeightFormats="1" dataCaption="Values" tag="6e18e812-210c-41f9-bca1-412eb7a482c8" updatedVersion="8" minRefreshableVersion="3" useAutoFormatting="1" itemPrintTitles="1" createdVersion="8" indent="0" outline="1" outlineData="1" multipleFieldFilters="0" chartFormat="4">
  <location ref="A6:B21"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2">
    <field x="0"/>
    <field x="1"/>
  </rowFields>
  <rowItems count="15">
    <i>
      <x/>
    </i>
    <i r="1">
      <x/>
    </i>
    <i r="1">
      <x v="1"/>
    </i>
    <i>
      <x v="1"/>
    </i>
    <i r="1">
      <x v="2"/>
    </i>
    <i r="1">
      <x v="3"/>
    </i>
    <i r="1">
      <x v="1"/>
    </i>
    <i r="1">
      <x v="4"/>
    </i>
    <i r="1">
      <x v="5"/>
    </i>
    <i r="1">
      <x v="6"/>
    </i>
    <i>
      <x v="2"/>
    </i>
    <i r="1">
      <x v="1"/>
    </i>
    <i r="1">
      <x v="7"/>
    </i>
    <i r="1">
      <x v="8"/>
    </i>
    <i t="grand">
      <x/>
    </i>
  </rowItems>
  <colItems count="1">
    <i/>
  </colItems>
  <dataFields count="1">
    <dataField fld="2" subtotal="count" baseField="0" baseItem="0"/>
  </dataFields>
  <chartFormats count="1">
    <chartFormat chart="3"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7A3282-EDC8-42BE-AC4F-56CC6DABD34F}" name="PivotTable1" cacheId="659" applyNumberFormats="0" applyBorderFormats="0" applyFontFormats="0" applyPatternFormats="0" applyAlignmentFormats="0" applyWidthHeightFormats="1" dataCaption="Values" tag="b7215f8f-31db-47b4-83d5-53ddbae2031e" updatedVersion="8" minRefreshableVersion="3" useAutoFormatting="1" itemPrintTitles="1" createdVersion="8"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4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HR_Analytic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4E4066E-B67F-4ABC-817E-032E2BE9CE4E}" sourceName="[tbl_HR_Analytics].[Department]">
  <pivotTables>
    <pivotTable tabId="2" name="PivotTable2"/>
    <pivotTable tabId="2" name="PivotTable1"/>
    <pivotTable tabId="2" name="PivotTable3"/>
    <pivotTable tabId="2" name="PivotTable4"/>
  </pivotTables>
  <data>
    <olap pivotCacheId="1636278859">
      <levels count="2">
        <level uniqueName="[tbl_HR_Analytics].[Department].[(All)]" sourceCaption="(All)" count="0"/>
        <level uniqueName="[tbl_HR_Analytics].[Department].[Department]" sourceCaption="Department" count="3">
          <ranges>
            <range startItem="0">
              <i n="[tbl_HR_Analytics].[Department].&amp;[Human Resources]" c="Human Resources"/>
              <i n="[tbl_HR_Analytics].[Department].&amp;[Research &amp; Development]" c="Research &amp; Development"/>
              <i n="[tbl_HR_Analytics].[Department].&amp;[Sales]" c="Sales"/>
            </range>
          </ranges>
        </level>
      </levels>
      <selections count="1">
        <selection n="[tbl_HR_Analytics].[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CFC8234-BACB-4331-B246-85E5923306DD}" sourceName="[tbl_HR_Analytics].[Gender]">
  <pivotTables>
    <pivotTable tabId="2" name="PivotTable2"/>
    <pivotTable tabId="2" name="PivotTable1"/>
    <pivotTable tabId="2" name="PivotTable3"/>
    <pivotTable tabId="2" name="PivotTable4"/>
  </pivotTables>
  <data>
    <olap pivotCacheId="1636278859">
      <levels count="2">
        <level uniqueName="[tbl_HR_Analytics].[Gender].[(All)]" sourceCaption="(All)" count="0"/>
        <level uniqueName="[tbl_HR_Analytics].[Gender].[Gender]" sourceCaption="Gender" count="2">
          <ranges>
            <range startItem="0">
              <i n="[tbl_HR_Analytics].[Gender].&amp;[Female]" c="Female"/>
              <i n="[tbl_HR_Analytics].[Gender].&amp;[Male]" c="Male"/>
            </range>
          </ranges>
        </level>
      </levels>
      <selections count="1">
        <selection n="[tbl_HR_Analytics].[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6C47B523-58C8-47ED-8097-E80F662FB17B}" sourceName="[tbl_HR_Analytics].[MaritalStatus]">
  <pivotTables>
    <pivotTable tabId="2" name="PivotTable2"/>
    <pivotTable tabId="2" name="PivotTable1"/>
    <pivotTable tabId="2" name="PivotTable3"/>
    <pivotTable tabId="2" name="PivotTable4"/>
  </pivotTables>
  <data>
    <olap pivotCacheId="1636278859">
      <levels count="2">
        <level uniqueName="[tbl_HR_Analytics].[MaritalStatus].[(All)]" sourceCaption="(All)" count="0"/>
        <level uniqueName="[tbl_HR_Analytics].[MaritalStatus].[MaritalStatus]" sourceCaption="MaritalStatus" count="3">
          <ranges>
            <range startItem="0">
              <i n="[tbl_HR_Analytics].[MaritalStatus].&amp;[Divorced]" c="Divorced"/>
              <i n="[tbl_HR_Analytics].[MaritalStatus].&amp;[Married]" c="Married"/>
              <i n="[tbl_HR_Analytics].[MaritalStatus].&amp;[Single]" c="Single"/>
            </range>
          </ranges>
        </level>
      </levels>
      <selections count="1">
        <selection n="[tbl_HR_Analytics].[Marital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AFC1F7C-417F-47CE-A3D7-230361162178}" cache="Slicer_Department" caption="Department" level="1" rowHeight="234950"/>
  <slicer name="Gender" xr10:uid="{995703DD-5328-4495-8DF2-67AA08BEFA42}" cache="Slicer_Gender" caption="Gender" level="1" rowHeight="234950"/>
  <slicer name="MaritalStatus" xr10:uid="{5DC45082-E5B3-405D-8E33-48D47F40D49A}" cache="Slicer_MaritalStatus" caption="MaritalStatus"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D57049-4943-465C-9A7B-7A05488F89D6}" name="Table1" displayName="Table1" ref="A1:AI1471" totalsRowShown="0">
  <autoFilter ref="A1:AI1471" xr:uid="{ADD57049-4943-465C-9A7B-7A05488F89D6}"/>
  <tableColumns count="35">
    <tableColumn id="1" xr3:uid="{C6A1C911-1B8C-4590-AC76-572B68B0B3BA}" name="Age"/>
    <tableColumn id="2" xr3:uid="{A512B0A0-2332-40B5-855F-5317EF3E14D9}" name="Attrition"/>
    <tableColumn id="3" xr3:uid="{B786FD5C-3E9E-4ACF-A5F3-946F8D2C5A1E}" name="BusinessTravel"/>
    <tableColumn id="4" xr3:uid="{2B35AE34-4394-4BD7-9985-755F7A0F5E8B}" name="DailyRate"/>
    <tableColumn id="5" xr3:uid="{6E0BE413-62F1-40A8-BF81-6181C3791F4C}" name="Department"/>
    <tableColumn id="6" xr3:uid="{E14EDEE0-353B-438C-900F-47A9611D1628}" name="DistanceFromHome"/>
    <tableColumn id="7" xr3:uid="{6073196C-68BD-4E15-92D4-37FFC497C56C}" name="Education"/>
    <tableColumn id="8" xr3:uid="{929F5CFC-E119-4DFD-BF40-84F29B048701}" name="EducationField"/>
    <tableColumn id="9" xr3:uid="{02462831-8DA0-41CB-9E59-AFA7ED618C2E}" name="EmployeeCount"/>
    <tableColumn id="10" xr3:uid="{7FD7DE8B-03AA-4D0C-B938-8E41B79DA3B1}" name="EmployeeNumber"/>
    <tableColumn id="11" xr3:uid="{18FBC9DE-09A7-4153-BFA3-F7AB6B8F95E3}" name="EnvironmentSatisfaction"/>
    <tableColumn id="12" xr3:uid="{A12F5E34-BB09-4ECC-9C76-14FD47CC1A59}" name="Gender"/>
    <tableColumn id="13" xr3:uid="{D1370BB5-E488-484B-9AC2-289DAA0CC43E}" name="HourlyRate"/>
    <tableColumn id="14" xr3:uid="{1935C249-31FA-4A5D-9CA3-F135F483FFDE}" name="JobInvolvement"/>
    <tableColumn id="15" xr3:uid="{97BDC04B-9864-4FC0-8A52-C63A84293191}" name="JobLevel"/>
    <tableColumn id="16" xr3:uid="{B503BCE1-F949-457E-89DE-31CFC2F35C94}" name="JobRole"/>
    <tableColumn id="17" xr3:uid="{E8E4B461-1071-43A2-BDC9-8EDB353B916E}" name="JobSatisfaction"/>
    <tableColumn id="18" xr3:uid="{DAA669DC-9E81-48EF-B5A5-948B0290896C}" name="MaritalStatus"/>
    <tableColumn id="19" xr3:uid="{EC71AF65-4A61-47F1-8871-AEF76A48C0C9}" name="MonthlyIncome"/>
    <tableColumn id="20" xr3:uid="{5547BF52-C359-48C9-B77D-D242CBBE3CB9}" name="MonthlyRate"/>
    <tableColumn id="21" xr3:uid="{BB587C0A-4757-450B-BE59-0619AF650ECD}" name="NumCompaniesWorked"/>
    <tableColumn id="22" xr3:uid="{F1135F9D-E073-4513-B899-16AEB924B84F}" name="Over18"/>
    <tableColumn id="23" xr3:uid="{0820D4A4-CA78-4119-BEED-D25254D0DE15}" name="OverTime"/>
    <tableColumn id="24" xr3:uid="{09FFA739-320F-407B-9C78-E325760490CF}" name="PercentSalaryHike"/>
    <tableColumn id="25" xr3:uid="{0500F437-E70B-4766-8838-84D1263EB211}" name="PerformanceRating"/>
    <tableColumn id="26" xr3:uid="{DB95170F-F1D2-416C-8A4E-6BF16592C493}" name="RelationshipSatisfaction"/>
    <tableColumn id="27" xr3:uid="{D279FEBD-4EEE-4D86-8C8A-914DD31A4484}" name="StandardHours"/>
    <tableColumn id="28" xr3:uid="{9FBBC55A-B94E-4D0C-8C27-343D52242982}" name="StockOptionLevel"/>
    <tableColumn id="29" xr3:uid="{A22EAACE-2071-4AAB-AA3E-A3450632F8B8}" name="TotalWorkingYears"/>
    <tableColumn id="30" xr3:uid="{E348507A-F44E-4A46-946C-C3D1F5C5DB9C}" name="TrainingTimesLastYear"/>
    <tableColumn id="31" xr3:uid="{FC82F0A6-0478-4B09-BA02-4FD5054A88EA}" name="WorkLifeBalance"/>
    <tableColumn id="32" xr3:uid="{E69F012C-3269-483A-A24D-413290ECFE9F}" name="YearsAtCompany"/>
    <tableColumn id="33" xr3:uid="{812FDB95-EF09-4569-AC9E-10A9478CB1D1}" name="YearsInCurrentRole"/>
    <tableColumn id="34" xr3:uid="{82FD7B15-0F1B-433D-B71E-14BFBF77C752}" name="YearsSinceLastPromotion"/>
    <tableColumn id="35" xr3:uid="{EEB184C5-1295-4AB6-A296-59598BD56FED}"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3CA63-3FCA-47F0-A207-4C6205235F98}">
  <dimension ref="A1:M5"/>
  <sheetViews>
    <sheetView showGridLines="0" tabSelected="1" workbookViewId="0">
      <selection activeCell="X19" sqref="X19"/>
    </sheetView>
  </sheetViews>
  <sheetFormatPr defaultRowHeight="14.4" x14ac:dyDescent="0.3"/>
  <cols>
    <col min="1" max="1" width="9.88671875" bestFit="1" customWidth="1"/>
    <col min="9" max="9" width="13" bestFit="1" customWidth="1"/>
  </cols>
  <sheetData>
    <row r="1" spans="1:13" x14ac:dyDescent="0.3">
      <c r="A1" s="7" t="s">
        <v>72</v>
      </c>
      <c r="B1" s="7"/>
      <c r="C1" s="7"/>
      <c r="D1" s="7"/>
      <c r="E1" s="7"/>
      <c r="F1" s="7"/>
      <c r="G1" s="7"/>
      <c r="H1" s="7"/>
      <c r="I1" s="7"/>
      <c r="J1" s="7"/>
      <c r="K1" s="7"/>
      <c r="L1" s="7"/>
      <c r="M1" s="7"/>
    </row>
    <row r="2" spans="1:13" x14ac:dyDescent="0.3">
      <c r="A2" s="7"/>
      <c r="B2" s="7"/>
      <c r="C2" s="7"/>
      <c r="D2" s="7"/>
      <c r="E2" s="7"/>
      <c r="F2" s="7"/>
      <c r="G2" s="7"/>
      <c r="H2" s="7"/>
      <c r="I2" s="7"/>
      <c r="J2" s="7"/>
      <c r="K2" s="7"/>
      <c r="L2" s="7"/>
      <c r="M2" s="7"/>
    </row>
    <row r="4" spans="1:13" x14ac:dyDescent="0.3">
      <c r="A4" s="8" t="s">
        <v>73</v>
      </c>
      <c r="E4" s="8" t="s">
        <v>74</v>
      </c>
      <c r="I4" s="8" t="s">
        <v>75</v>
      </c>
    </row>
    <row r="5" spans="1:13" ht="25.8" x14ac:dyDescent="0.5">
      <c r="A5" s="9">
        <f>GETPIVOTDATA("[Measures].[Total Headcount]",Staging!$A$1)</f>
        <v>1470</v>
      </c>
      <c r="E5" s="9">
        <f>GETPIVOTDATA("[Measures].[Attrition Count]",Staging!$A$1)</f>
        <v>237</v>
      </c>
      <c r="I5" s="10">
        <f>GETPIVOTDATA("[Measures].[Attrition Rate (%)]",Staging!$A$1)</f>
        <v>0.16122448979591836</v>
      </c>
    </row>
  </sheetData>
  <mergeCells count="1">
    <mergeCell ref="A1:M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3AC7B-CE48-44E2-AEA4-FFF48D38B884}">
  <dimension ref="A1:F21"/>
  <sheetViews>
    <sheetView workbookViewId="0">
      <selection activeCell="F14" sqref="F14"/>
    </sheetView>
  </sheetViews>
  <sheetFormatPr defaultRowHeight="14.4" x14ac:dyDescent="0.3"/>
  <cols>
    <col min="1" max="1" width="15.109375" bestFit="1" customWidth="1"/>
    <col min="2" max="2" width="14" bestFit="1" customWidth="1"/>
    <col min="3" max="3" width="16.109375" bestFit="1" customWidth="1"/>
    <col min="5" max="5" width="12.77734375" bestFit="1" customWidth="1"/>
    <col min="6" max="6" width="16.109375" bestFit="1" customWidth="1"/>
    <col min="7" max="7" width="14" bestFit="1" customWidth="1"/>
  </cols>
  <sheetData>
    <row r="1" spans="1:6" x14ac:dyDescent="0.3">
      <c r="A1" t="s">
        <v>62</v>
      </c>
      <c r="B1" t="s">
        <v>63</v>
      </c>
      <c r="C1" t="s">
        <v>64</v>
      </c>
    </row>
    <row r="2" spans="1:6" x14ac:dyDescent="0.3">
      <c r="A2" s="1">
        <v>1470</v>
      </c>
      <c r="B2" s="1">
        <v>237</v>
      </c>
      <c r="C2" s="2">
        <v>0.16122448979591836</v>
      </c>
    </row>
    <row r="6" spans="1:6" x14ac:dyDescent="0.3">
      <c r="A6" s="3" t="s">
        <v>65</v>
      </c>
      <c r="B6" t="s">
        <v>64</v>
      </c>
      <c r="E6" s="3" t="s">
        <v>65</v>
      </c>
      <c r="F6" t="s">
        <v>64</v>
      </c>
    </row>
    <row r="7" spans="1:6" x14ac:dyDescent="0.3">
      <c r="A7" s="4" t="s">
        <v>61</v>
      </c>
      <c r="B7" s="6"/>
      <c r="E7" s="4" t="s">
        <v>43</v>
      </c>
      <c r="F7" s="2">
        <v>0.10436432637571158</v>
      </c>
    </row>
    <row r="8" spans="1:6" x14ac:dyDescent="0.3">
      <c r="A8" s="5" t="s">
        <v>61</v>
      </c>
      <c r="B8" s="2">
        <v>0.23076923076923078</v>
      </c>
      <c r="E8" s="4" t="s">
        <v>35</v>
      </c>
      <c r="F8" s="2">
        <v>0.30528846153846156</v>
      </c>
    </row>
    <row r="9" spans="1:6" x14ac:dyDescent="0.3">
      <c r="A9" s="5" t="s">
        <v>56</v>
      </c>
      <c r="B9" s="2">
        <v>0</v>
      </c>
      <c r="E9" s="4" t="s">
        <v>66</v>
      </c>
      <c r="F9" s="2">
        <v>0.16122448979591836</v>
      </c>
    </row>
    <row r="10" spans="1:6" x14ac:dyDescent="0.3">
      <c r="A10" s="4" t="s">
        <v>45</v>
      </c>
      <c r="B10" s="6"/>
    </row>
    <row r="11" spans="1:6" x14ac:dyDescent="0.3">
      <c r="A11" s="5" t="s">
        <v>54</v>
      </c>
      <c r="B11" s="2">
        <v>6.8702290076335881E-2</v>
      </c>
    </row>
    <row r="12" spans="1:6" x14ac:dyDescent="0.3">
      <c r="A12" s="5" t="s">
        <v>50</v>
      </c>
      <c r="B12" s="2">
        <v>0.23938223938223938</v>
      </c>
      <c r="E12" s="3" t="s">
        <v>65</v>
      </c>
      <c r="F12" t="s">
        <v>64</v>
      </c>
    </row>
    <row r="13" spans="1:6" x14ac:dyDescent="0.3">
      <c r="A13" s="5" t="s">
        <v>56</v>
      </c>
      <c r="B13" s="2">
        <v>5.5555555555555552E-2</v>
      </c>
      <c r="E13" s="4" t="s">
        <v>67</v>
      </c>
      <c r="F13" s="2">
        <v>0.34883720930232559</v>
      </c>
    </row>
    <row r="14" spans="1:6" x14ac:dyDescent="0.3">
      <c r="A14" s="5" t="s">
        <v>53</v>
      </c>
      <c r="B14" s="2">
        <v>6.8965517241379309E-2</v>
      </c>
      <c r="E14" s="4" t="s">
        <v>69</v>
      </c>
      <c r="F14" s="2">
        <v>0.18431372549019609</v>
      </c>
    </row>
    <row r="15" spans="1:6" x14ac:dyDescent="0.3">
      <c r="A15" s="5" t="s">
        <v>58</v>
      </c>
      <c r="B15" s="2">
        <v>2.5000000000000001E-2</v>
      </c>
      <c r="E15" s="4" t="s">
        <v>70</v>
      </c>
      <c r="F15" s="2">
        <v>0.13071895424836602</v>
      </c>
    </row>
    <row r="16" spans="1:6" x14ac:dyDescent="0.3">
      <c r="A16" s="5" t="s">
        <v>47</v>
      </c>
      <c r="B16" s="2">
        <v>0.16095890410958905</v>
      </c>
      <c r="E16" s="4" t="s">
        <v>71</v>
      </c>
      <c r="F16" s="2">
        <v>0.12276785714285714</v>
      </c>
    </row>
    <row r="17" spans="1:6" x14ac:dyDescent="0.3">
      <c r="A17" s="4" t="s">
        <v>37</v>
      </c>
      <c r="B17" s="6"/>
      <c r="E17" s="4" t="s">
        <v>68</v>
      </c>
      <c r="F17" s="2">
        <v>8.1300813008130079E-2</v>
      </c>
    </row>
    <row r="18" spans="1:6" x14ac:dyDescent="0.3">
      <c r="A18" s="5" t="s">
        <v>56</v>
      </c>
      <c r="B18" s="2">
        <v>5.4054054054054057E-2</v>
      </c>
      <c r="E18" s="4" t="s">
        <v>66</v>
      </c>
      <c r="F18" s="2">
        <v>0.16122448979591836</v>
      </c>
    </row>
    <row r="19" spans="1:6" x14ac:dyDescent="0.3">
      <c r="A19" s="5" t="s">
        <v>40</v>
      </c>
      <c r="B19" s="2">
        <v>0.17484662576687116</v>
      </c>
    </row>
    <row r="20" spans="1:6" x14ac:dyDescent="0.3">
      <c r="A20" s="5" t="s">
        <v>57</v>
      </c>
      <c r="B20" s="2">
        <v>0.39759036144578314</v>
      </c>
    </row>
    <row r="21" spans="1:6" x14ac:dyDescent="0.3">
      <c r="A21" s="4" t="s">
        <v>66</v>
      </c>
      <c r="B21" s="2">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ECD25-CC79-4C81-8FAE-99AAE3F28083}">
  <dimension ref="A1:AI1471"/>
  <sheetViews>
    <sheetView workbookViewId="0">
      <selection activeCell="G11" sqref="G11"/>
    </sheetView>
  </sheetViews>
  <sheetFormatPr defaultRowHeight="14.4" x14ac:dyDescent="0.3"/>
  <cols>
    <col min="1" max="1" width="6.21875" customWidth="1"/>
    <col min="2" max="2" width="10.33203125" customWidth="1"/>
    <col min="3" max="3" width="16.88671875" bestFit="1" customWidth="1"/>
    <col min="4" max="4" width="11.109375" customWidth="1"/>
    <col min="5" max="5" width="23.21875" bestFit="1" customWidth="1"/>
    <col min="6" max="6" width="19.88671875" customWidth="1"/>
    <col min="7" max="7" width="11.44140625" customWidth="1"/>
    <col min="8" max="8" width="16.33203125" bestFit="1" customWidth="1"/>
    <col min="9" max="9" width="16.6640625" customWidth="1"/>
    <col min="10" max="10" width="18.6640625" customWidth="1"/>
    <col min="11" max="11" width="24" customWidth="1"/>
    <col min="12" max="12" width="9.44140625" customWidth="1"/>
    <col min="13" max="13" width="12.5546875" customWidth="1"/>
    <col min="14" max="14" width="16.77734375" customWidth="1"/>
    <col min="15" max="15" width="10.44140625" customWidth="1"/>
    <col min="16" max="16" width="24.33203125" bestFit="1" customWidth="1"/>
    <col min="17" max="17" width="15.88671875" customWidth="1"/>
    <col min="18" max="18" width="14.44140625" customWidth="1"/>
    <col min="19" max="19" width="16.6640625" customWidth="1"/>
    <col min="20" max="20" width="14.21875" customWidth="1"/>
    <col min="21" max="21" width="23.6640625" customWidth="1"/>
    <col min="22" max="22" width="9" customWidth="1"/>
    <col min="23" max="23" width="11.44140625" customWidth="1"/>
    <col min="24" max="24" width="18.6640625" customWidth="1"/>
    <col min="25" max="25" width="19.44140625" customWidth="1"/>
    <col min="26" max="26" width="23.77734375" customWidth="1"/>
    <col min="27" max="27" width="15.5546875" customWidth="1"/>
    <col min="28" max="28" width="18.109375" customWidth="1"/>
    <col min="29" max="29" width="19.33203125" customWidth="1"/>
    <col min="30" max="30" width="22.21875" customWidth="1"/>
    <col min="31" max="31" width="17.5546875" customWidth="1"/>
    <col min="32" max="32" width="17.6640625" customWidth="1"/>
    <col min="33" max="33" width="19.77734375" customWidth="1"/>
    <col min="34" max="34" width="24.77734375" customWidth="1"/>
    <col min="35" max="35" width="23.2187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1A0B7D3D-27F2-4425-9629-40782AEC7266}">
  <ds:schemaRefs/>
</ds:datastoreItem>
</file>

<file path=customXml/itemProps2.xml><?xml version="1.0" encoding="utf-8"?>
<ds:datastoreItem xmlns:ds="http://schemas.openxmlformats.org/officeDocument/2006/customXml" ds:itemID="{4D845583-73DC-431F-B55C-949C36155A63}">
  <ds:schemaRefs/>
</ds:datastoreItem>
</file>

<file path=customXml/itemProps3.xml><?xml version="1.0" encoding="utf-8"?>
<ds:datastoreItem xmlns:ds="http://schemas.openxmlformats.org/officeDocument/2006/customXml" ds:itemID="{D36DAF4F-E40A-47D4-B282-99426FBAA90F}">
  <ds:schemaRefs/>
</ds:datastoreItem>
</file>

<file path=customXml/itemProps4.xml><?xml version="1.0" encoding="utf-8"?>
<ds:datastoreItem xmlns:ds="http://schemas.openxmlformats.org/officeDocument/2006/customXml" ds:itemID="{434AEC7E-D53A-42CC-9EA6-FDD04955A7DB}">
  <ds:schemaRefs/>
</ds:datastoreItem>
</file>

<file path=customXml/itemProps5.xml><?xml version="1.0" encoding="utf-8"?>
<ds:datastoreItem xmlns:ds="http://schemas.openxmlformats.org/officeDocument/2006/customXml" ds:itemID="{ECFA100B-161E-48F6-9A41-BF4B1EF19EA7}">
  <ds:schemaRefs/>
</ds:datastoreItem>
</file>

<file path=customXml/itemProps6.xml><?xml version="1.0" encoding="utf-8"?>
<ds:datastoreItem xmlns:ds="http://schemas.openxmlformats.org/officeDocument/2006/customXml" ds:itemID="{7E450FD7-D057-4FE4-91DB-421CE8C2CDAA}">
  <ds:schemaRefs/>
</ds:datastoreItem>
</file>

<file path=customXml/itemProps7.xml><?xml version="1.0" encoding="utf-8"?>
<ds:datastoreItem xmlns:ds="http://schemas.openxmlformats.org/officeDocument/2006/customXml" ds:itemID="{64D81A46-84ED-4FC3-BE28-BE34B3B796BA}">
  <ds:schemaRefs/>
</ds:datastoreItem>
</file>

<file path=customXml/itemProps8.xml><?xml version="1.0" encoding="utf-8"?>
<ds:datastoreItem xmlns:ds="http://schemas.openxmlformats.org/officeDocument/2006/customXml" ds:itemID="{3C82B6F0-EB10-4F98-9761-069D7EF9F496}">
  <ds:schemaRefs/>
</ds:datastoreItem>
</file>

<file path=customXml/itemProps9.xml><?xml version="1.0" encoding="utf-8"?>
<ds:datastoreItem xmlns:ds="http://schemas.openxmlformats.org/officeDocument/2006/customXml" ds:itemID="{72036C7C-A739-426E-BF60-666E019D033B}">
  <ds:schemaRefs/>
</ds:datastoreItem>
</file>

<file path=customXml/itemProps10.xml><?xml version="1.0" encoding="utf-8"?>
<ds:datastoreItem xmlns:ds="http://schemas.openxmlformats.org/officeDocument/2006/customXml" ds:itemID="{76963960-210D-42D2-AE9C-9CE0EBF6A923}">
  <ds:schemaRefs/>
</ds:datastoreItem>
</file>

<file path=customXml/itemProps11.xml><?xml version="1.0" encoding="utf-8"?>
<ds:datastoreItem xmlns:ds="http://schemas.openxmlformats.org/officeDocument/2006/customXml" ds:itemID="{E5BFD37F-777C-4BD2-BD37-D3100ACD3746}">
  <ds:schemaRefs>
    <ds:schemaRef ds:uri="http://schemas.microsoft.com/DataMashup"/>
  </ds:schemaRefs>
</ds:datastoreItem>
</file>

<file path=customXml/itemProps12.xml><?xml version="1.0" encoding="utf-8"?>
<ds:datastoreItem xmlns:ds="http://schemas.openxmlformats.org/officeDocument/2006/customXml" ds:itemID="{C5314321-1D08-4461-A14D-17839842A58B}">
  <ds:schemaRefs/>
</ds:datastoreItem>
</file>

<file path=customXml/itemProps13.xml><?xml version="1.0" encoding="utf-8"?>
<ds:datastoreItem xmlns:ds="http://schemas.openxmlformats.org/officeDocument/2006/customXml" ds:itemID="{B4DDCC9E-F145-41E4-894F-0649AF0D5D8F}">
  <ds:schemaRefs/>
</ds:datastoreItem>
</file>

<file path=customXml/itemProps14.xml><?xml version="1.0" encoding="utf-8"?>
<ds:datastoreItem xmlns:ds="http://schemas.openxmlformats.org/officeDocument/2006/customXml" ds:itemID="{DDC42484-903D-4671-858C-776538A59C11}">
  <ds:schemaRefs/>
</ds:datastoreItem>
</file>

<file path=customXml/itemProps15.xml><?xml version="1.0" encoding="utf-8"?>
<ds:datastoreItem xmlns:ds="http://schemas.openxmlformats.org/officeDocument/2006/customXml" ds:itemID="{7601FB4B-CF0A-4C8D-B671-050D17F997D4}">
  <ds:schemaRefs/>
</ds:datastoreItem>
</file>

<file path=customXml/itemProps16.xml><?xml version="1.0" encoding="utf-8"?>
<ds:datastoreItem xmlns:ds="http://schemas.openxmlformats.org/officeDocument/2006/customXml" ds:itemID="{7D298A7D-7662-4FA5-941F-9E737C43835A}">
  <ds:schemaRefs/>
</ds:datastoreItem>
</file>

<file path=customXml/itemProps17.xml><?xml version="1.0" encoding="utf-8"?>
<ds:datastoreItem xmlns:ds="http://schemas.openxmlformats.org/officeDocument/2006/customXml" ds:itemID="{6FA514DD-1819-4CB5-A1BD-5A82C0EA298F}">
  <ds:schemaRefs/>
</ds:datastoreItem>
</file>

<file path=customXml/itemProps18.xml><?xml version="1.0" encoding="utf-8"?>
<ds:datastoreItem xmlns:ds="http://schemas.openxmlformats.org/officeDocument/2006/customXml" ds:itemID="{76848668-B4E6-47F2-A61D-29DAA0D009A0}">
  <ds:schemaRefs/>
</ds:datastoreItem>
</file>

<file path=customXml/itemProps19.xml><?xml version="1.0" encoding="utf-8"?>
<ds:datastoreItem xmlns:ds="http://schemas.openxmlformats.org/officeDocument/2006/customXml" ds:itemID="{58667251-FCD8-44BC-BD73-9B3FF1E2F29A}">
  <ds:schemaRefs/>
</ds:datastoreItem>
</file>

<file path=customXml/itemProps20.xml><?xml version="1.0" encoding="utf-8"?>
<ds:datastoreItem xmlns:ds="http://schemas.openxmlformats.org/officeDocument/2006/customXml" ds:itemID="{5FCC8B44-C9CE-4C20-B955-F158C68440A7}">
  <ds:schemaRefs/>
</ds:datastoreItem>
</file>

<file path=customXml/itemProps21.xml><?xml version="1.0" encoding="utf-8"?>
<ds:datastoreItem xmlns:ds="http://schemas.openxmlformats.org/officeDocument/2006/customXml" ds:itemID="{4C5035D6-82A8-4C48-AEA1-27E79ED50E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Staging</vt:lpstr>
      <vt:lpstr>HR &amp; Workforce Analytics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 shamallah</dc:creator>
  <cp:lastModifiedBy>vic shamallah</cp:lastModifiedBy>
  <dcterms:created xsi:type="dcterms:W3CDTF">2026-09-21T09:03:44Z</dcterms:created>
  <dcterms:modified xsi:type="dcterms:W3CDTF">2026-09-21T12:10:40Z</dcterms:modified>
</cp:coreProperties>
</file>